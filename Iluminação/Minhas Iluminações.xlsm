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Usuarios\07228257146\Desktop\Certificados\Oracle APEX\Iluminação\"/>
    </mc:Choice>
  </mc:AlternateContent>
  <xr:revisionPtr revIDLastSave="0" documentId="13_ncr:1_{65B4CEBD-D192-445E-BE64-E6D877471195}" xr6:coauthVersionLast="47" xr6:coauthVersionMax="47" xr10:uidLastSave="{00000000-0000-0000-0000-000000000000}"/>
  <bookViews>
    <workbookView xWindow="-120" yWindow="-120" windowWidth="24240" windowHeight="13140" xr2:uid="{9D930E26-FD57-47D3-AEC1-C2DC0E693EFB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4" i="1" l="1" a="1"/>
  <c r="K2" i="1" a="1"/>
  <c r="L3" i="1" a="1"/>
  <c r="L5" i="1" a="1"/>
  <c r="L7" i="1" a="1"/>
  <c r="L9" i="1" a="1"/>
  <c r="L11" i="1" a="1"/>
  <c r="L13" i="1" a="1"/>
  <c r="L15" i="1" a="1"/>
  <c r="L17" i="1" a="1"/>
  <c r="L19" i="1" a="1"/>
  <c r="L21" i="1" a="1"/>
  <c r="L23" i="1" a="1"/>
  <c r="L25" i="1" a="1"/>
  <c r="L27" i="1" a="1"/>
  <c r="L29" i="1" a="1"/>
  <c r="L31" i="1" a="1"/>
  <c r="L33" i="1" a="1"/>
  <c r="L35" i="1" a="1"/>
  <c r="L37" i="1" a="1"/>
  <c r="L39" i="1" a="1"/>
  <c r="L41" i="1" a="1"/>
  <c r="L43" i="1" a="1"/>
  <c r="L45" i="1" a="1"/>
  <c r="L47" i="1" a="1"/>
  <c r="L49" i="1" a="1"/>
  <c r="L51" i="1" a="1"/>
  <c r="L53" i="1" a="1"/>
  <c r="L55" i="1" a="1"/>
  <c r="L57" i="1" a="1"/>
  <c r="L59" i="1" a="1"/>
  <c r="L61" i="1" a="1"/>
  <c r="L63" i="1" a="1"/>
  <c r="L65" i="1" a="1"/>
  <c r="L67" i="1" a="1"/>
  <c r="L69" i="1" a="1"/>
  <c r="L71" i="1" a="1"/>
  <c r="L73" i="1" a="1"/>
  <c r="L75" i="1" a="1"/>
  <c r="L4" i="1" a="1"/>
  <c r="L6" i="1" a="1"/>
  <c r="L8" i="1" a="1"/>
  <c r="L10" i="1" a="1"/>
  <c r="L12" i="1" a="1"/>
  <c r="L14" i="1" a="1"/>
  <c r="L16" i="1" a="1"/>
  <c r="L18" i="1" a="1"/>
  <c r="L20" i="1" a="1"/>
  <c r="L22" i="1" a="1"/>
  <c r="L24" i="1" a="1"/>
  <c r="L26" i="1" a="1"/>
  <c r="L28" i="1" a="1"/>
  <c r="L30" i="1" a="1"/>
  <c r="L32" i="1" a="1"/>
  <c r="L34" i="1" a="1"/>
  <c r="L36" i="1" a="1"/>
  <c r="L38" i="1" a="1"/>
  <c r="L40" i="1" a="1"/>
  <c r="L42" i="1" a="1"/>
  <c r="L44" i="1" a="1"/>
  <c r="L46" i="1" a="1"/>
  <c r="L48" i="1" a="1"/>
  <c r="L50" i="1" a="1"/>
  <c r="L52" i="1" a="1"/>
  <c r="L54" i="1" a="1"/>
  <c r="L56" i="1" a="1"/>
  <c r="L58" i="1" a="1"/>
  <c r="L60" i="1" a="1"/>
  <c r="L62" i="1" a="1"/>
  <c r="L64" i="1" a="1"/>
  <c r="L66" i="1" a="1"/>
  <c r="L68" i="1" a="1"/>
  <c r="L70" i="1" a="1"/>
  <c r="L72" i="1" a="1"/>
  <c r="L74" i="1" a="1"/>
  <c r="L76" i="1" a="1"/>
  <c r="L79" i="1" a="1"/>
  <c r="L82" i="1" a="1"/>
  <c r="L87" i="1" a="1"/>
  <c r="L90" i="1" a="1"/>
  <c r="L95" i="1" a="1"/>
  <c r="L98" i="1" a="1"/>
  <c r="L103" i="1" a="1"/>
  <c r="L106" i="1" a="1"/>
  <c r="L111" i="1" a="1"/>
  <c r="L114" i="1" a="1"/>
  <c r="L119" i="1" a="1"/>
  <c r="L122" i="1" a="1"/>
  <c r="L127" i="1" a="1"/>
  <c r="L130" i="1" a="1"/>
  <c r="L135" i="1" a="1"/>
  <c r="L138" i="1" a="1"/>
  <c r="L143" i="1" a="1"/>
  <c r="L146" i="1" a="1"/>
  <c r="L151" i="1" a="1"/>
  <c r="L154" i="1" a="1"/>
  <c r="L159" i="1" a="1"/>
  <c r="L162" i="1" a="1"/>
  <c r="L167" i="1" a="1"/>
  <c r="L170" i="1" a="1"/>
  <c r="L77" i="1" a="1"/>
  <c r="L80" i="1" a="1"/>
  <c r="L85" i="1" a="1"/>
  <c r="L88" i="1" a="1"/>
  <c r="L93" i="1" a="1"/>
  <c r="L96" i="1" a="1"/>
  <c r="L101" i="1" a="1"/>
  <c r="L104" i="1" a="1"/>
  <c r="L109" i="1" a="1"/>
  <c r="L112" i="1" a="1"/>
  <c r="L117" i="1" a="1"/>
  <c r="L120" i="1" a="1"/>
  <c r="L78" i="1" a="1"/>
  <c r="L83" i="1" a="1"/>
  <c r="L86" i="1" a="1"/>
  <c r="L91" i="1" a="1"/>
  <c r="L94" i="1" a="1"/>
  <c r="L99" i="1" a="1"/>
  <c r="L102" i="1" a="1"/>
  <c r="L107" i="1" a="1"/>
  <c r="L110" i="1" a="1"/>
  <c r="L115" i="1" a="1"/>
  <c r="L118" i="1" a="1"/>
  <c r="L123" i="1" a="1"/>
  <c r="L126" i="1" a="1"/>
  <c r="L131" i="1" a="1"/>
  <c r="L134" i="1" a="1"/>
  <c r="L139" i="1" a="1"/>
  <c r="L142" i="1" a="1"/>
  <c r="L147" i="1" a="1"/>
  <c r="L150" i="1" a="1"/>
  <c r="L155" i="1" a="1"/>
  <c r="L158" i="1" a="1"/>
  <c r="L163" i="1" a="1"/>
  <c r="L166" i="1" a="1"/>
  <c r="L171" i="1" a="1"/>
  <c r="L97" i="1" a="1"/>
  <c r="L108" i="1" a="1"/>
  <c r="L132" i="1" a="1"/>
  <c r="L137" i="1" a="1"/>
  <c r="L148" i="1" a="1"/>
  <c r="L153" i="1" a="1"/>
  <c r="L164" i="1" a="1"/>
  <c r="L169" i="1" a="1"/>
  <c r="L174" i="1" a="1"/>
  <c r="L178" i="1" a="1"/>
  <c r="L182" i="1" a="1"/>
  <c r="L186" i="1" a="1"/>
  <c r="L190" i="1" a="1"/>
  <c r="L194" i="1" a="1"/>
  <c r="L198" i="1" a="1"/>
  <c r="L202" i="1" a="1"/>
  <c r="L206" i="1" a="1"/>
  <c r="L210" i="1" a="1"/>
  <c r="L214" i="1" a="1"/>
  <c r="L218" i="1" a="1"/>
  <c r="L222" i="1" a="1"/>
  <c r="L226" i="1" a="1"/>
  <c r="L230" i="1" a="1"/>
  <c r="L234" i="1" a="1"/>
  <c r="L238" i="1" a="1"/>
  <c r="L242" i="1" a="1"/>
  <c r="L246" i="1" a="1"/>
  <c r="L250" i="1" a="1"/>
  <c r="L254" i="1" a="1"/>
  <c r="L258" i="1" a="1"/>
  <c r="L262" i="1" a="1"/>
  <c r="L266" i="1" a="1"/>
  <c r="L89" i="1" a="1"/>
  <c r="L100" i="1" a="1"/>
  <c r="L121" i="1" a="1"/>
  <c r="L128" i="1" a="1"/>
  <c r="L133" i="1" a="1"/>
  <c r="L144" i="1" a="1"/>
  <c r="L149" i="1" a="1"/>
  <c r="L160" i="1" a="1"/>
  <c r="L165" i="1" a="1"/>
  <c r="L81" i="1" a="1"/>
  <c r="L92" i="1" a="1"/>
  <c r="L113" i="1" a="1"/>
  <c r="L124" i="1" a="1"/>
  <c r="L129" i="1" a="1"/>
  <c r="L140" i="1" a="1"/>
  <c r="L145" i="1" a="1"/>
  <c r="L156" i="1" a="1"/>
  <c r="L161" i="1" a="1"/>
  <c r="L172" i="1" a="1"/>
  <c r="L176" i="1" a="1"/>
  <c r="L180" i="1" a="1"/>
  <c r="L184" i="1" a="1"/>
  <c r="L188" i="1" a="1"/>
  <c r="L192" i="1" a="1"/>
  <c r="L196" i="1" a="1"/>
  <c r="L200" i="1" a="1"/>
  <c r="L204" i="1" a="1"/>
  <c r="L208" i="1" a="1"/>
  <c r="L212" i="1" a="1"/>
  <c r="L216" i="1" a="1"/>
  <c r="L220" i="1" a="1"/>
  <c r="L224" i="1" a="1"/>
  <c r="L228" i="1" a="1"/>
  <c r="L232" i="1" a="1"/>
  <c r="L236" i="1" a="1"/>
  <c r="L240" i="1" a="1"/>
  <c r="L244" i="1" a="1"/>
  <c r="L248" i="1" a="1"/>
  <c r="L252" i="1" a="1"/>
  <c r="L256" i="1" a="1"/>
  <c r="L260" i="1" a="1"/>
  <c r="L264" i="1" a="1"/>
  <c r="L267" i="1" a="1"/>
  <c r="L84" i="1" a="1"/>
  <c r="L105" i="1" a="1"/>
  <c r="L116" i="1" a="1"/>
  <c r="L125" i="1" a="1"/>
  <c r="L136" i="1" a="1"/>
  <c r="L141" i="1" a="1"/>
  <c r="L152" i="1" a="1"/>
  <c r="L157" i="1" a="1"/>
  <c r="L168" i="1" a="1"/>
  <c r="L173" i="1" a="1"/>
  <c r="L177" i="1" a="1"/>
  <c r="L181" i="1" a="1"/>
  <c r="L185" i="1" a="1"/>
  <c r="L189" i="1" a="1"/>
  <c r="L193" i="1" a="1"/>
  <c r="L197" i="1" a="1"/>
  <c r="L201" i="1" a="1"/>
  <c r="L205" i="1" a="1"/>
  <c r="L209" i="1" a="1"/>
  <c r="L213" i="1" a="1"/>
  <c r="L217" i="1" a="1"/>
  <c r="L221" i="1" a="1"/>
  <c r="L225" i="1" a="1"/>
  <c r="L229" i="1" a="1"/>
  <c r="L233" i="1" a="1"/>
  <c r="L237" i="1" a="1"/>
  <c r="L241" i="1" a="1"/>
  <c r="L245" i="1" a="1"/>
  <c r="L249" i="1" a="1"/>
  <c r="L253" i="1" a="1"/>
  <c r="L257" i="1" a="1"/>
  <c r="L261" i="1" a="1"/>
  <c r="L265" i="1" a="1"/>
  <c r="L268" i="1" a="1"/>
  <c r="L270" i="1" a="1"/>
  <c r="L272" i="1" a="1"/>
  <c r="L274" i="1" a="1"/>
  <c r="L276" i="1" a="1"/>
  <c r="L278" i="1" a="1"/>
  <c r="L280" i="1" a="1"/>
  <c r="L282" i="1" a="1"/>
  <c r="L284" i="1" a="1"/>
  <c r="L286" i="1" a="1"/>
  <c r="L288" i="1" a="1"/>
  <c r="L290" i="1" a="1"/>
  <c r="L292" i="1" a="1"/>
  <c r="L294" i="1" a="1"/>
  <c r="L296" i="1" a="1"/>
  <c r="L298" i="1" a="1"/>
  <c r="L300" i="1" a="1"/>
  <c r="L302" i="1" a="1"/>
  <c r="L304" i="1" a="1"/>
  <c r="L306" i="1" a="1"/>
  <c r="L308" i="1" a="1"/>
  <c r="L310" i="1" a="1"/>
  <c r="L312" i="1" a="1"/>
  <c r="L314" i="1" a="1"/>
  <c r="L316" i="1" a="1"/>
  <c r="L318" i="1" a="1"/>
  <c r="L320" i="1" a="1"/>
  <c r="L322" i="1" a="1"/>
  <c r="L324" i="1" a="1"/>
  <c r="L326" i="1" a="1"/>
  <c r="L328" i="1" a="1"/>
  <c r="L330" i="1" a="1"/>
  <c r="L332" i="1" a="1"/>
  <c r="L334" i="1" a="1"/>
  <c r="L336" i="1" a="1"/>
  <c r="L323" i="1" a="1"/>
  <c r="L400" i="1" a="1"/>
  <c r="L175" i="1" a="1"/>
  <c r="L207" i="1" a="1"/>
  <c r="L223" i="1" a="1"/>
  <c r="L239" i="1" a="1"/>
  <c r="L269" i="1" a="1"/>
  <c r="L285" i="1" a="1"/>
  <c r="L301" i="1" a="1"/>
  <c r="L317" i="1" a="1"/>
  <c r="L333" i="1" a="1"/>
  <c r="L343" i="1" a="1"/>
  <c r="L347" i="1" a="1"/>
  <c r="L355" i="1" a="1"/>
  <c r="L363" i="1" a="1"/>
  <c r="L375" i="1" a="1"/>
  <c r="L382" i="1" a="1"/>
  <c r="L390" i="1" a="1"/>
  <c r="L395" i="1" a="1"/>
  <c r="L406" i="1" a="1"/>
  <c r="L411" i="1" a="1"/>
  <c r="L367" i="1" a="1"/>
  <c r="L179" i="1" a="1"/>
  <c r="L195" i="1" a="1"/>
  <c r="L211" i="1" a="1"/>
  <c r="L227" i="1" a="1"/>
  <c r="L243" i="1" a="1"/>
  <c r="L259" i="1" a="1"/>
  <c r="L271" i="1" a="1"/>
  <c r="L279" i="1" a="1"/>
  <c r="L287" i="1" a="1"/>
  <c r="L295" i="1" a="1"/>
  <c r="L303" i="1" a="1"/>
  <c r="L311" i="1" a="1"/>
  <c r="L319" i="1" a="1"/>
  <c r="L327" i="1" a="1"/>
  <c r="L335" i="1" a="1"/>
  <c r="L340" i="1" a="1"/>
  <c r="L344" i="1" a="1"/>
  <c r="L348" i="1" a="1"/>
  <c r="L352" i="1" a="1"/>
  <c r="L356" i="1" a="1"/>
  <c r="L360" i="1" a="1"/>
  <c r="L364" i="1" a="1"/>
  <c r="L368" i="1" a="1"/>
  <c r="L372" i="1" a="1"/>
  <c r="L376" i="1" a="1"/>
  <c r="L380" i="1" a="1"/>
  <c r="L385" i="1" a="1"/>
  <c r="L388" i="1" a="1"/>
  <c r="L393" i="1" a="1"/>
  <c r="L396" i="1" a="1"/>
  <c r="L401" i="1" a="1"/>
  <c r="L404" i="1" a="1"/>
  <c r="L409" i="1" a="1"/>
  <c r="L183" i="1" a="1"/>
  <c r="L199" i="1" a="1"/>
  <c r="L215" i="1" a="1"/>
  <c r="L231" i="1" a="1"/>
  <c r="L247" i="1" a="1"/>
  <c r="L263" i="1" a="1"/>
  <c r="L273" i="1" a="1"/>
  <c r="L281" i="1" a="1"/>
  <c r="L289" i="1" a="1"/>
  <c r="L297" i="1" a="1"/>
  <c r="L305" i="1" a="1"/>
  <c r="L313" i="1" a="1"/>
  <c r="L321" i="1" a="1"/>
  <c r="L329" i="1" a="1"/>
  <c r="L337" i="1" a="1"/>
  <c r="L341" i="1" a="1"/>
  <c r="L345" i="1" a="1"/>
  <c r="L349" i="1" a="1"/>
  <c r="L353" i="1" a="1"/>
  <c r="L357" i="1" a="1"/>
  <c r="L361" i="1" a="1"/>
  <c r="L365" i="1" a="1"/>
  <c r="L369" i="1" a="1"/>
  <c r="L373" i="1" a="1"/>
  <c r="L377" i="1" a="1"/>
  <c r="L383" i="1" a="1"/>
  <c r="L386" i="1" a="1"/>
  <c r="L391" i="1" a="1"/>
  <c r="L394" i="1" a="1"/>
  <c r="L399" i="1" a="1"/>
  <c r="L402" i="1" a="1"/>
  <c r="L407" i="1" a="1"/>
  <c r="L410" i="1" a="1"/>
  <c r="L187" i="1" a="1"/>
  <c r="L203" i="1" a="1"/>
  <c r="L219" i="1" a="1"/>
  <c r="L235" i="1" a="1"/>
  <c r="L251" i="1" a="1"/>
  <c r="L275" i="1" a="1"/>
  <c r="L283" i="1" a="1"/>
  <c r="L291" i="1" a="1"/>
  <c r="L299" i="1" a="1"/>
  <c r="L307" i="1" a="1"/>
  <c r="L315" i="1" a="1"/>
  <c r="L331" i="1" a="1"/>
  <c r="L338" i="1" a="1"/>
  <c r="L342" i="1" a="1"/>
  <c r="L346" i="1" a="1"/>
  <c r="L350" i="1" a="1"/>
  <c r="L354" i="1" a="1"/>
  <c r="L358" i="1" a="1"/>
  <c r="L362" i="1" a="1"/>
  <c r="L366" i="1" a="1"/>
  <c r="L370" i="1" a="1"/>
  <c r="L374" i="1" a="1"/>
  <c r="L378" i="1" a="1"/>
  <c r="L381" i="1" a="1"/>
  <c r="L384" i="1" a="1"/>
  <c r="L389" i="1" a="1"/>
  <c r="L392" i="1" a="1"/>
  <c r="L397" i="1" a="1"/>
  <c r="L405" i="1" a="1"/>
  <c r="L408" i="1" a="1"/>
  <c r="L191" i="1" a="1"/>
  <c r="L255" i="1" a="1"/>
  <c r="L277" i="1" a="1"/>
  <c r="L293" i="1" a="1"/>
  <c r="L309" i="1" a="1"/>
  <c r="L325" i="1" a="1"/>
  <c r="L339" i="1" a="1"/>
  <c r="L351" i="1" a="1"/>
  <c r="L359" i="1" a="1"/>
  <c r="L371" i="1" a="1"/>
  <c r="L379" i="1" a="1"/>
  <c r="L387" i="1" a="1"/>
  <c r="L398" i="1" a="1"/>
  <c r="L403" i="1" a="1"/>
  <c r="L2" i="1" a="1"/>
  <c r="K6" i="1" a="1"/>
  <c r="K8" i="1" a="1"/>
  <c r="K10" i="1" a="1"/>
  <c r="K12" i="1" a="1"/>
  <c r="K14" i="1" a="1"/>
  <c r="K16" i="1" a="1"/>
  <c r="K18" i="1" a="1"/>
  <c r="K20" i="1" a="1"/>
  <c r="K22" i="1" a="1"/>
  <c r="K24" i="1" a="1"/>
  <c r="K26" i="1" a="1"/>
  <c r="K28" i="1" a="1"/>
  <c r="K30" i="1" a="1"/>
  <c r="K32" i="1" a="1"/>
  <c r="K34" i="1" a="1"/>
  <c r="K36" i="1" a="1"/>
  <c r="K38" i="1" a="1"/>
  <c r="K40" i="1" a="1"/>
  <c r="K42" i="1" a="1"/>
  <c r="K44" i="1" a="1"/>
  <c r="K46" i="1" a="1"/>
  <c r="K48" i="1" a="1"/>
  <c r="K50" i="1" a="1"/>
  <c r="K52" i="1" a="1"/>
  <c r="K54" i="1" a="1"/>
  <c r="K56" i="1" a="1"/>
  <c r="K58" i="1" a="1"/>
  <c r="K60" i="1" a="1"/>
  <c r="K62" i="1" a="1"/>
  <c r="K64" i="1" a="1"/>
  <c r="K66" i="1" a="1"/>
  <c r="K68" i="1" a="1"/>
  <c r="K70" i="1" a="1"/>
  <c r="K72" i="1" a="1"/>
  <c r="K74" i="1" a="1"/>
  <c r="K76" i="1" a="1"/>
  <c r="K78" i="1" a="1"/>
  <c r="K80" i="1" a="1"/>
  <c r="K82" i="1" a="1"/>
  <c r="K84" i="1" a="1"/>
  <c r="K86" i="1" a="1"/>
  <c r="K88" i="1" a="1"/>
  <c r="K90" i="1" a="1"/>
  <c r="K92" i="1" a="1"/>
  <c r="K94" i="1" a="1"/>
  <c r="K96" i="1" a="1"/>
  <c r="K98" i="1" a="1"/>
  <c r="K100" i="1" a="1"/>
  <c r="K102" i="1" a="1"/>
  <c r="K104" i="1" a="1"/>
  <c r="K106" i="1" a="1"/>
  <c r="K108" i="1" a="1"/>
  <c r="K110" i="1" a="1"/>
  <c r="K112" i="1" a="1"/>
  <c r="K114" i="1" a="1"/>
  <c r="K116" i="1" a="1"/>
  <c r="K118" i="1" a="1"/>
  <c r="K120" i="1" a="1"/>
  <c r="K122" i="1" a="1"/>
  <c r="K124" i="1" a="1"/>
  <c r="K126" i="1" a="1"/>
  <c r="K128" i="1" a="1"/>
  <c r="K130" i="1" a="1"/>
  <c r="K132" i="1" a="1"/>
  <c r="K134" i="1" a="1"/>
  <c r="K136" i="1" a="1"/>
  <c r="K138" i="1" a="1"/>
  <c r="K140" i="1" a="1"/>
  <c r="K142" i="1" a="1"/>
  <c r="K144" i="1" a="1"/>
  <c r="K146" i="1" a="1"/>
  <c r="K148" i="1" a="1"/>
  <c r="K150" i="1" a="1"/>
  <c r="K152" i="1" a="1"/>
  <c r="K154" i="1" a="1"/>
  <c r="K156" i="1" a="1"/>
  <c r="K158" i="1" a="1"/>
  <c r="K160" i="1" a="1"/>
  <c r="K162" i="1" a="1"/>
  <c r="K164" i="1" a="1"/>
  <c r="K166" i="1" a="1"/>
  <c r="K168" i="1" a="1"/>
  <c r="K170" i="1" a="1"/>
  <c r="K7" i="1" a="1"/>
  <c r="K9" i="1" a="1"/>
  <c r="K11" i="1" a="1"/>
  <c r="K13" i="1" a="1"/>
  <c r="K15" i="1" a="1"/>
  <c r="K17" i="1" a="1"/>
  <c r="K19" i="1" a="1"/>
  <c r="K21" i="1" a="1"/>
  <c r="K23" i="1" a="1"/>
  <c r="K25" i="1" a="1"/>
  <c r="K27" i="1" a="1"/>
  <c r="K29" i="1" a="1"/>
  <c r="K31" i="1" a="1"/>
  <c r="K33" i="1" a="1"/>
  <c r="K35" i="1" a="1"/>
  <c r="K37" i="1" a="1"/>
  <c r="K39" i="1" a="1"/>
  <c r="K41" i="1" a="1"/>
  <c r="K43" i="1" a="1"/>
  <c r="K45" i="1" a="1"/>
  <c r="K47" i="1" a="1"/>
  <c r="K49" i="1" a="1"/>
  <c r="K51" i="1" a="1"/>
  <c r="K53" i="1" a="1"/>
  <c r="K55" i="1" a="1"/>
  <c r="K57" i="1" a="1"/>
  <c r="K59" i="1" a="1"/>
  <c r="K61" i="1" a="1"/>
  <c r="K63" i="1" a="1"/>
  <c r="K65" i="1" a="1"/>
  <c r="K67" i="1" a="1"/>
  <c r="K69" i="1" a="1"/>
  <c r="K71" i="1" a="1"/>
  <c r="K73" i="1" a="1"/>
  <c r="K75" i="1" a="1"/>
  <c r="K77" i="1" a="1"/>
  <c r="K79" i="1" a="1"/>
  <c r="K81" i="1" a="1"/>
  <c r="K83" i="1" a="1"/>
  <c r="K85" i="1" a="1"/>
  <c r="K87" i="1" a="1"/>
  <c r="K89" i="1" a="1"/>
  <c r="K91" i="1" a="1"/>
  <c r="K93" i="1" a="1"/>
  <c r="K95" i="1" a="1"/>
  <c r="K97" i="1" a="1"/>
  <c r="K99" i="1" a="1"/>
  <c r="K101" i="1" a="1"/>
  <c r="K103" i="1" a="1"/>
  <c r="K105" i="1" a="1"/>
  <c r="K107" i="1" a="1"/>
  <c r="K109" i="1" a="1"/>
  <c r="K111" i="1" a="1"/>
  <c r="K113" i="1" a="1"/>
  <c r="K115" i="1" a="1"/>
  <c r="K117" i="1" a="1"/>
  <c r="K119" i="1" a="1"/>
  <c r="K121" i="1" a="1"/>
  <c r="K123" i="1" a="1"/>
  <c r="K125" i="1" a="1"/>
  <c r="K127" i="1" a="1"/>
  <c r="K129" i="1" a="1"/>
  <c r="K131" i="1" a="1"/>
  <c r="K133" i="1" a="1"/>
  <c r="K135" i="1" a="1"/>
  <c r="K137" i="1" a="1"/>
  <c r="K139" i="1" a="1"/>
  <c r="K141" i="1" a="1"/>
  <c r="K143" i="1" a="1"/>
  <c r="K145" i="1" a="1"/>
  <c r="K147" i="1" a="1"/>
  <c r="K149" i="1" a="1"/>
  <c r="K151" i="1" a="1"/>
  <c r="K153" i="1" a="1"/>
  <c r="K155" i="1" a="1"/>
  <c r="K157" i="1" a="1"/>
  <c r="K159" i="1" a="1"/>
  <c r="K161" i="1" a="1"/>
  <c r="K163" i="1" a="1"/>
  <c r="K165" i="1" a="1"/>
  <c r="K167" i="1" a="1"/>
  <c r="K169" i="1" a="1"/>
  <c r="K171" i="1" a="1"/>
  <c r="K173" i="1" a="1"/>
  <c r="K176" i="1" a="1"/>
  <c r="K174" i="1" a="1"/>
  <c r="K172" i="1" a="1"/>
  <c r="K179" i="1" a="1"/>
  <c r="K183" i="1" a="1"/>
  <c r="K187" i="1" a="1"/>
  <c r="K191" i="1" a="1"/>
  <c r="K195" i="1" a="1"/>
  <c r="K199" i="1" a="1"/>
  <c r="K203" i="1" a="1"/>
  <c r="K207" i="1" a="1"/>
  <c r="K211" i="1" a="1"/>
  <c r="K215" i="1" a="1"/>
  <c r="K219" i="1" a="1"/>
  <c r="K223" i="1" a="1"/>
  <c r="K227" i="1" a="1"/>
  <c r="K231" i="1" a="1"/>
  <c r="K235" i="1" a="1"/>
  <c r="K239" i="1" a="1"/>
  <c r="K243" i="1" a="1"/>
  <c r="K247" i="1" a="1"/>
  <c r="K251" i="1" a="1"/>
  <c r="K255" i="1" a="1"/>
  <c r="K259" i="1" a="1"/>
  <c r="K263" i="1" a="1"/>
  <c r="K267" i="1" a="1"/>
  <c r="K271" i="1" a="1"/>
  <c r="K275" i="1" a="1"/>
  <c r="K279" i="1" a="1"/>
  <c r="K283" i="1" a="1"/>
  <c r="K287" i="1" a="1"/>
  <c r="K291" i="1" a="1"/>
  <c r="K295" i="1" a="1"/>
  <c r="K299" i="1" a="1"/>
  <c r="K302" i="1" a="1"/>
  <c r="K304" i="1" a="1"/>
  <c r="K306" i="1" a="1"/>
  <c r="K308" i="1" a="1"/>
  <c r="K310" i="1" a="1"/>
  <c r="K312" i="1" a="1"/>
  <c r="K314" i="1" a="1"/>
  <c r="K316" i="1" a="1"/>
  <c r="K318" i="1" a="1"/>
  <c r="K320" i="1" a="1"/>
  <c r="K322" i="1" a="1"/>
  <c r="K324" i="1" a="1"/>
  <c r="K326" i="1" a="1"/>
  <c r="K328" i="1" a="1"/>
  <c r="K330" i="1" a="1"/>
  <c r="K332" i="1" a="1"/>
  <c r="K334" i="1" a="1"/>
  <c r="K336" i="1" a="1"/>
  <c r="K338" i="1" a="1"/>
  <c r="K340" i="1" a="1"/>
  <c r="K342" i="1" a="1"/>
  <c r="K344" i="1" a="1"/>
  <c r="K346" i="1" a="1"/>
  <c r="K348" i="1" a="1"/>
  <c r="K350" i="1" a="1"/>
  <c r="K352" i="1" a="1"/>
  <c r="K354" i="1" a="1"/>
  <c r="K356" i="1" a="1"/>
  <c r="K358" i="1" a="1"/>
  <c r="K360" i="1" a="1"/>
  <c r="K362" i="1" a="1"/>
  <c r="K364" i="1" a="1"/>
  <c r="K366" i="1" a="1"/>
  <c r="K368" i="1" a="1"/>
  <c r="K370" i="1" a="1"/>
  <c r="K372" i="1" a="1"/>
  <c r="K374" i="1" a="1"/>
  <c r="K376" i="1" a="1"/>
  <c r="K378" i="1" a="1"/>
  <c r="K380" i="1" a="1"/>
  <c r="K382" i="1" a="1"/>
  <c r="K384" i="1" a="1"/>
  <c r="K386" i="1" a="1"/>
  <c r="K388" i="1" a="1"/>
  <c r="K390" i="1" a="1"/>
  <c r="K392" i="1" a="1"/>
  <c r="K396" i="1" a="1"/>
  <c r="K398" i="1" a="1"/>
  <c r="K400" i="1" a="1"/>
  <c r="K402" i="1" a="1"/>
  <c r="K404" i="1" a="1"/>
  <c r="K406" i="1" a="1"/>
  <c r="K408" i="1" a="1"/>
  <c r="K410" i="1" a="1"/>
  <c r="K357" i="1" a="1"/>
  <c r="K361" i="1" a="1"/>
  <c r="K365" i="1" a="1"/>
  <c r="K369" i="1" a="1"/>
  <c r="K373" i="1" a="1"/>
  <c r="K377" i="1" a="1"/>
  <c r="K381" i="1" a="1"/>
  <c r="K385" i="1" a="1"/>
  <c r="K389" i="1" a="1"/>
  <c r="K393" i="1" a="1"/>
  <c r="K397" i="1" a="1"/>
  <c r="K401" i="1" a="1"/>
  <c r="K405" i="1" a="1"/>
  <c r="K409" i="1" a="1"/>
  <c r="K194" i="1" a="1"/>
  <c r="K210" i="1" a="1"/>
  <c r="K218" i="1" a="1"/>
  <c r="K226" i="1" a="1"/>
  <c r="K234" i="1" a="1"/>
  <c r="K242" i="1" a="1"/>
  <c r="K250" i="1" a="1"/>
  <c r="K258" i="1" a="1"/>
  <c r="K266" i="1" a="1"/>
  <c r="K278" i="1" a="1"/>
  <c r="K286" i="1" a="1"/>
  <c r="K298" i="1" a="1"/>
  <c r="K175" i="1" a="1"/>
  <c r="K180" i="1" a="1"/>
  <c r="K184" i="1" a="1"/>
  <c r="K188" i="1" a="1"/>
  <c r="K192" i="1" a="1"/>
  <c r="K196" i="1" a="1"/>
  <c r="K200" i="1" a="1"/>
  <c r="K204" i="1" a="1"/>
  <c r="K208" i="1" a="1"/>
  <c r="K212" i="1" a="1"/>
  <c r="K216" i="1" a="1"/>
  <c r="K220" i="1" a="1"/>
  <c r="K224" i="1" a="1"/>
  <c r="K228" i="1" a="1"/>
  <c r="K232" i="1" a="1"/>
  <c r="K236" i="1" a="1"/>
  <c r="K240" i="1" a="1"/>
  <c r="K244" i="1" a="1"/>
  <c r="K248" i="1" a="1"/>
  <c r="K252" i="1" a="1"/>
  <c r="K256" i="1" a="1"/>
  <c r="K260" i="1" a="1"/>
  <c r="K264" i="1" a="1"/>
  <c r="K268" i="1" a="1"/>
  <c r="K272" i="1" a="1"/>
  <c r="K276" i="1" a="1"/>
  <c r="K280" i="1" a="1"/>
  <c r="K284" i="1" a="1"/>
  <c r="K288" i="1" a="1"/>
  <c r="K292" i="1" a="1"/>
  <c r="K296" i="1" a="1"/>
  <c r="K300" i="1" a="1"/>
  <c r="K355" i="1" a="1"/>
  <c r="K359" i="1" a="1"/>
  <c r="K363" i="1" a="1"/>
  <c r="K367" i="1" a="1"/>
  <c r="K371" i="1" a="1"/>
  <c r="K375" i="1" a="1"/>
  <c r="K379" i="1" a="1"/>
  <c r="K383" i="1" a="1"/>
  <c r="K387" i="1" a="1"/>
  <c r="K391" i="1" a="1"/>
  <c r="K395" i="1" a="1"/>
  <c r="K399" i="1" a="1"/>
  <c r="K403" i="1" a="1"/>
  <c r="K407" i="1" a="1"/>
  <c r="K411" i="1" a="1"/>
  <c r="K178" i="1" a="1"/>
  <c r="K182" i="1" a="1"/>
  <c r="K186" i="1" a="1"/>
  <c r="K190" i="1" a="1"/>
  <c r="K202" i="1" a="1"/>
  <c r="K206" i="1" a="1"/>
  <c r="K214" i="1" a="1"/>
  <c r="K222" i="1" a="1"/>
  <c r="K230" i="1" a="1"/>
  <c r="K238" i="1" a="1"/>
  <c r="K246" i="1" a="1"/>
  <c r="K254" i="1" a="1"/>
  <c r="K262" i="1" a="1"/>
  <c r="K270" i="1" a="1"/>
  <c r="K282" i="1" a="1"/>
  <c r="K290" i="1" a="1"/>
  <c r="K177" i="1" a="1"/>
  <c r="K181" i="1" a="1"/>
  <c r="K185" i="1" a="1"/>
  <c r="K189" i="1" a="1"/>
  <c r="K193" i="1" a="1"/>
  <c r="K197" i="1" a="1"/>
  <c r="K201" i="1" a="1"/>
  <c r="K205" i="1" a="1"/>
  <c r="K209" i="1" a="1"/>
  <c r="K213" i="1" a="1"/>
  <c r="K217" i="1" a="1"/>
  <c r="K221" i="1" a="1"/>
  <c r="K225" i="1" a="1"/>
  <c r="K229" i="1" a="1"/>
  <c r="K233" i="1" a="1"/>
  <c r="K237" i="1" a="1"/>
  <c r="K241" i="1" a="1"/>
  <c r="K245" i="1" a="1"/>
  <c r="K249" i="1" a="1"/>
  <c r="K253" i="1" a="1"/>
  <c r="K257" i="1" a="1"/>
  <c r="K261" i="1" a="1"/>
  <c r="K265" i="1" a="1"/>
  <c r="K269" i="1" a="1"/>
  <c r="K273" i="1" a="1"/>
  <c r="K277" i="1" a="1"/>
  <c r="K281" i="1" a="1"/>
  <c r="K285" i="1" a="1"/>
  <c r="K289" i="1" a="1"/>
  <c r="K293" i="1" a="1"/>
  <c r="K297" i="1" a="1"/>
  <c r="K301" i="1" a="1"/>
  <c r="K303" i="1" a="1"/>
  <c r="K305" i="1" a="1"/>
  <c r="K307" i="1" a="1"/>
  <c r="K309" i="1" a="1"/>
  <c r="K311" i="1" a="1"/>
  <c r="K313" i="1" a="1"/>
  <c r="K315" i="1" a="1"/>
  <c r="K317" i="1" a="1"/>
  <c r="K319" i="1" a="1"/>
  <c r="K321" i="1" a="1"/>
  <c r="K323" i="1" a="1"/>
  <c r="K325" i="1" a="1"/>
  <c r="K327" i="1" a="1"/>
  <c r="K329" i="1" a="1"/>
  <c r="K331" i="1" a="1"/>
  <c r="K333" i="1" a="1"/>
  <c r="K335" i="1" a="1"/>
  <c r="K337" i="1" a="1"/>
  <c r="K339" i="1" a="1"/>
  <c r="K341" i="1" a="1"/>
  <c r="K343" i="1" a="1"/>
  <c r="K345" i="1" a="1"/>
  <c r="K347" i="1" a="1"/>
  <c r="K349" i="1" a="1"/>
  <c r="K351" i="1" a="1"/>
  <c r="K353" i="1" a="1"/>
  <c r="K198" i="1" a="1"/>
  <c r="K274" i="1" a="1"/>
  <c r="K294" i="1" a="1"/>
  <c r="K5" i="1" a="1"/>
  <c r="K4" i="1" a="1"/>
  <c r="K3" i="1" a="1"/>
  <c r="J3" i="1" a="1"/>
  <c r="J5" i="1" a="1"/>
  <c r="J7" i="1" a="1"/>
  <c r="J9" i="1" a="1"/>
  <c r="J11" i="1" a="1"/>
  <c r="J13" i="1" a="1"/>
  <c r="J15" i="1" a="1"/>
  <c r="J17" i="1" a="1"/>
  <c r="J19" i="1" a="1"/>
  <c r="J21" i="1" a="1"/>
  <c r="J23" i="1" a="1"/>
  <c r="J25" i="1" a="1"/>
  <c r="J27" i="1" a="1"/>
  <c r="J29" i="1" a="1"/>
  <c r="J31" i="1" a="1"/>
  <c r="J33" i="1" a="1"/>
  <c r="J35" i="1" a="1"/>
  <c r="J37" i="1" a="1"/>
  <c r="J39" i="1" a="1"/>
  <c r="J41" i="1" a="1"/>
  <c r="J43" i="1" a="1"/>
  <c r="J45" i="1" a="1"/>
  <c r="J47" i="1" a="1"/>
  <c r="J49" i="1" a="1"/>
  <c r="J51" i="1" a="1"/>
  <c r="J53" i="1" a="1"/>
  <c r="J55" i="1" a="1"/>
  <c r="J57" i="1" a="1"/>
  <c r="J59" i="1" a="1"/>
  <c r="J61" i="1" a="1"/>
  <c r="J63" i="1" a="1"/>
  <c r="J65" i="1" a="1"/>
  <c r="J67" i="1" a="1"/>
  <c r="J69" i="1" a="1"/>
  <c r="J71" i="1" a="1"/>
  <c r="J73" i="1" a="1"/>
  <c r="J75" i="1" a="1"/>
  <c r="J2" i="1" a="1"/>
  <c r="J4" i="1" a="1"/>
  <c r="J6" i="1" a="1"/>
  <c r="J8" i="1" a="1"/>
  <c r="J10" i="1" a="1"/>
  <c r="J12" i="1" a="1"/>
  <c r="J14" i="1" a="1"/>
  <c r="J16" i="1" a="1"/>
  <c r="J18" i="1" a="1"/>
  <c r="J20" i="1" a="1"/>
  <c r="J22" i="1" a="1"/>
  <c r="J24" i="1" a="1"/>
  <c r="J26" i="1" a="1"/>
  <c r="J28" i="1" a="1"/>
  <c r="J30" i="1" a="1"/>
  <c r="J32" i="1" a="1"/>
  <c r="J34" i="1" a="1"/>
  <c r="J36" i="1" a="1"/>
  <c r="J38" i="1" a="1"/>
  <c r="J40" i="1" a="1"/>
  <c r="J42" i="1" a="1"/>
  <c r="J44" i="1" a="1"/>
  <c r="J46" i="1" a="1"/>
  <c r="J48" i="1" a="1"/>
  <c r="J50" i="1" a="1"/>
  <c r="J52" i="1" a="1"/>
  <c r="J54" i="1" a="1"/>
  <c r="J56" i="1" a="1"/>
  <c r="J58" i="1" a="1"/>
  <c r="J60" i="1" a="1"/>
  <c r="J62" i="1" a="1"/>
  <c r="J64" i="1" a="1"/>
  <c r="J66" i="1" a="1"/>
  <c r="J68" i="1" a="1"/>
  <c r="J70" i="1" a="1"/>
  <c r="J79" i="1" a="1"/>
  <c r="J82" i="1" a="1"/>
  <c r="J87" i="1" a="1"/>
  <c r="J90" i="1" a="1"/>
  <c r="J95" i="1" a="1"/>
  <c r="J98" i="1" a="1"/>
  <c r="J103" i="1" a="1"/>
  <c r="J106" i="1" a="1"/>
  <c r="J111" i="1" a="1"/>
  <c r="J114" i="1" a="1"/>
  <c r="J119" i="1" a="1"/>
  <c r="J122" i="1" a="1"/>
  <c r="J127" i="1" a="1"/>
  <c r="J130" i="1" a="1"/>
  <c r="J135" i="1" a="1"/>
  <c r="J138" i="1" a="1"/>
  <c r="J143" i="1" a="1"/>
  <c r="J146" i="1" a="1"/>
  <c r="J151" i="1" a="1"/>
  <c r="J154" i="1" a="1"/>
  <c r="J159" i="1" a="1"/>
  <c r="J162" i="1" a="1"/>
  <c r="J167" i="1" a="1"/>
  <c r="J170" i="1" a="1"/>
  <c r="J172" i="1" a="1"/>
  <c r="J174" i="1" a="1"/>
  <c r="J176" i="1" a="1"/>
  <c r="J178" i="1" a="1"/>
  <c r="J180" i="1" a="1"/>
  <c r="J182" i="1" a="1"/>
  <c r="J184" i="1" a="1"/>
  <c r="J186" i="1" a="1"/>
  <c r="J188" i="1" a="1"/>
  <c r="J190" i="1" a="1"/>
  <c r="J192" i="1" a="1"/>
  <c r="J194" i="1" a="1"/>
  <c r="J196" i="1" a="1"/>
  <c r="J198" i="1" a="1"/>
  <c r="J200" i="1" a="1"/>
  <c r="J202" i="1" a="1"/>
  <c r="J204" i="1" a="1"/>
  <c r="J206" i="1" a="1"/>
  <c r="J208" i="1" a="1"/>
  <c r="J210" i="1" a="1"/>
  <c r="J212" i="1" a="1"/>
  <c r="J214" i="1" a="1"/>
  <c r="J216" i="1" a="1"/>
  <c r="J218" i="1" a="1"/>
  <c r="J220" i="1" a="1"/>
  <c r="J222" i="1" a="1"/>
  <c r="J224" i="1" a="1"/>
  <c r="J226" i="1" a="1"/>
  <c r="J228" i="1" a="1"/>
  <c r="J230" i="1" a="1"/>
  <c r="J232" i="1" a="1"/>
  <c r="J234" i="1" a="1"/>
  <c r="J236" i="1" a="1"/>
  <c r="J238" i="1" a="1"/>
  <c r="J240" i="1" a="1"/>
  <c r="J242" i="1" a="1"/>
  <c r="J244" i="1" a="1"/>
  <c r="J246" i="1" a="1"/>
  <c r="J248" i="1" a="1"/>
  <c r="J250" i="1" a="1"/>
  <c r="J252" i="1" a="1"/>
  <c r="J254" i="1" a="1"/>
  <c r="J256" i="1" a="1"/>
  <c r="J258" i="1" a="1"/>
  <c r="J260" i="1" a="1"/>
  <c r="J262" i="1" a="1"/>
  <c r="J264" i="1" a="1"/>
  <c r="J266" i="1" a="1"/>
  <c r="J268" i="1" a="1"/>
  <c r="J270" i="1" a="1"/>
  <c r="J272" i="1" a="1"/>
  <c r="J274" i="1" a="1"/>
  <c r="J276" i="1" a="1"/>
  <c r="J278" i="1" a="1"/>
  <c r="J280" i="1" a="1"/>
  <c r="J282" i="1" a="1"/>
  <c r="J284" i="1" a="1"/>
  <c r="J286" i="1" a="1"/>
  <c r="J288" i="1" a="1"/>
  <c r="J290" i="1" a="1"/>
  <c r="J292" i="1" a="1"/>
  <c r="J294" i="1" a="1"/>
  <c r="J296" i="1" a="1"/>
  <c r="J298" i="1" a="1"/>
  <c r="J300" i="1" a="1"/>
  <c r="J302" i="1" a="1"/>
  <c r="J304" i="1" a="1"/>
  <c r="J306" i="1" a="1"/>
  <c r="J308" i="1" a="1"/>
  <c r="J310" i="1" a="1"/>
  <c r="J74" i="1" a="1"/>
  <c r="J77" i="1" a="1"/>
  <c r="J80" i="1" a="1"/>
  <c r="J85" i="1" a="1"/>
  <c r="J88" i="1" a="1"/>
  <c r="J93" i="1" a="1"/>
  <c r="J96" i="1" a="1"/>
  <c r="J101" i="1" a="1"/>
  <c r="J104" i="1" a="1"/>
  <c r="J109" i="1" a="1"/>
  <c r="J112" i="1" a="1"/>
  <c r="J117" i="1" a="1"/>
  <c r="J120" i="1" a="1"/>
  <c r="J125" i="1" a="1"/>
  <c r="J128" i="1" a="1"/>
  <c r="J133" i="1" a="1"/>
  <c r="J136" i="1" a="1"/>
  <c r="J141" i="1" a="1"/>
  <c r="J144" i="1" a="1"/>
  <c r="J149" i="1" a="1"/>
  <c r="J152" i="1" a="1"/>
  <c r="J157" i="1" a="1"/>
  <c r="J160" i="1" a="1"/>
  <c r="J165" i="1" a="1"/>
  <c r="J168" i="1" a="1"/>
  <c r="J78" i="1" a="1"/>
  <c r="J83" i="1" a="1"/>
  <c r="J86" i="1" a="1"/>
  <c r="J91" i="1" a="1"/>
  <c r="J94" i="1" a="1"/>
  <c r="J99" i="1" a="1"/>
  <c r="J102" i="1" a="1"/>
  <c r="J107" i="1" a="1"/>
  <c r="J110" i="1" a="1"/>
  <c r="J115" i="1" a="1"/>
  <c r="J118" i="1" a="1"/>
  <c r="J123" i="1" a="1"/>
  <c r="J126" i="1" a="1"/>
  <c r="J131" i="1" a="1"/>
  <c r="J134" i="1" a="1"/>
  <c r="J139" i="1" a="1"/>
  <c r="J142" i="1" a="1"/>
  <c r="J147" i="1" a="1"/>
  <c r="J150" i="1" a="1"/>
  <c r="J155" i="1" a="1"/>
  <c r="J158" i="1" a="1"/>
  <c r="J163" i="1" a="1"/>
  <c r="J166" i="1" a="1"/>
  <c r="J171" i="1" a="1"/>
  <c r="J173" i="1" a="1"/>
  <c r="J175" i="1" a="1"/>
  <c r="J177" i="1" a="1"/>
  <c r="J179" i="1" a="1"/>
  <c r="J181" i="1" a="1"/>
  <c r="J183" i="1" a="1"/>
  <c r="J185" i="1" a="1"/>
  <c r="J187" i="1" a="1"/>
  <c r="J189" i="1" a="1"/>
  <c r="J191" i="1" a="1"/>
  <c r="J193" i="1" a="1"/>
  <c r="J195" i="1" a="1"/>
  <c r="J197" i="1" a="1"/>
  <c r="J199" i="1" a="1"/>
  <c r="J201" i="1" a="1"/>
  <c r="J203" i="1" a="1"/>
  <c r="J205" i="1" a="1"/>
  <c r="J207" i="1" a="1"/>
  <c r="J209" i="1" a="1"/>
  <c r="J211" i="1" a="1"/>
  <c r="J213" i="1" a="1"/>
  <c r="J215" i="1" a="1"/>
  <c r="J217" i="1" a="1"/>
  <c r="J219" i="1" a="1"/>
  <c r="J221" i="1" a="1"/>
  <c r="J223" i="1" a="1"/>
  <c r="J225" i="1" a="1"/>
  <c r="J227" i="1" a="1"/>
  <c r="J229" i="1" a="1"/>
  <c r="J231" i="1" a="1"/>
  <c r="J233" i="1" a="1"/>
  <c r="J235" i="1" a="1"/>
  <c r="J237" i="1" a="1"/>
  <c r="J239" i="1" a="1"/>
  <c r="J241" i="1" a="1"/>
  <c r="J243" i="1" a="1"/>
  <c r="J245" i="1" a="1"/>
  <c r="J247" i="1" a="1"/>
  <c r="J249" i="1" a="1"/>
  <c r="J251" i="1" a="1"/>
  <c r="J253" i="1" a="1"/>
  <c r="J255" i="1" a="1"/>
  <c r="J257" i="1" a="1"/>
  <c r="J259" i="1" a="1"/>
  <c r="J261" i="1" a="1"/>
  <c r="J263" i="1" a="1"/>
  <c r="J265" i="1" a="1"/>
  <c r="J267" i="1" a="1"/>
  <c r="J269" i="1" a="1"/>
  <c r="J271" i="1" a="1"/>
  <c r="J273" i="1" a="1"/>
  <c r="J275" i="1" a="1"/>
  <c r="J277" i="1" a="1"/>
  <c r="J279" i="1" a="1"/>
  <c r="J281" i="1" a="1"/>
  <c r="J283" i="1" a="1"/>
  <c r="J285" i="1" a="1"/>
  <c r="J287" i="1" a="1"/>
  <c r="J289" i="1" a="1"/>
  <c r="J291" i="1" a="1"/>
  <c r="J293" i="1" a="1"/>
  <c r="J295" i="1" a="1"/>
  <c r="J297" i="1" a="1"/>
  <c r="J299" i="1" a="1"/>
  <c r="J301" i="1" a="1"/>
  <c r="J303" i="1" a="1"/>
  <c r="J305" i="1" a="1"/>
  <c r="J307" i="1" a="1"/>
  <c r="J309" i="1" a="1"/>
  <c r="J311" i="1" a="1"/>
  <c r="J72" i="1" a="1"/>
  <c r="J84" i="1" a="1"/>
  <c r="J105" i="1" a="1"/>
  <c r="J116" i="1" a="1"/>
  <c r="J137" i="1" a="1"/>
  <c r="J148" i="1" a="1"/>
  <c r="J169" i="1" a="1"/>
  <c r="J312" i="1" a="1"/>
  <c r="J315" i="1" a="1"/>
  <c r="J320" i="1" a="1"/>
  <c r="J323" i="1" a="1"/>
  <c r="J328" i="1" a="1"/>
  <c r="J331" i="1" a="1"/>
  <c r="J336" i="1" a="1"/>
  <c r="J339" i="1" a="1"/>
  <c r="J344" i="1" a="1"/>
  <c r="J347" i="1" a="1"/>
  <c r="J352" i="1" a="1"/>
  <c r="J355" i="1" a="1"/>
  <c r="J360" i="1" a="1"/>
  <c r="J363" i="1" a="1"/>
  <c r="J368" i="1" a="1"/>
  <c r="J371" i="1" a="1"/>
  <c r="J376" i="1" a="1"/>
  <c r="J108" i="1" a="1"/>
  <c r="J129" i="1" a="1"/>
  <c r="J161" i="1" a="1"/>
  <c r="J318" i="1" a="1"/>
  <c r="J321" i="1" a="1"/>
  <c r="J329" i="1" a="1"/>
  <c r="J337" i="1" a="1"/>
  <c r="J342" i="1" a="1"/>
  <c r="J350" i="1" a="1"/>
  <c r="J358" i="1" a="1"/>
  <c r="J366" i="1" a="1"/>
  <c r="J377" i="1" a="1"/>
  <c r="J381" i="1" a="1"/>
  <c r="J385" i="1" a="1"/>
  <c r="J389" i="1" a="1"/>
  <c r="J393" i="1" a="1"/>
  <c r="J397" i="1" a="1"/>
  <c r="J401" i="1" a="1"/>
  <c r="J405" i="1" a="1"/>
  <c r="J409" i="1" a="1"/>
  <c r="J113" i="1" a="1"/>
  <c r="J124" i="1" a="1"/>
  <c r="J145" i="1" a="1"/>
  <c r="J314" i="1" a="1"/>
  <c r="J325" i="1" a="1"/>
  <c r="J338" i="1" a="1"/>
  <c r="J349" i="1" a="1"/>
  <c r="J365" i="1" a="1"/>
  <c r="J378" i="1" a="1"/>
  <c r="J384" i="1" a="1"/>
  <c r="J390" i="1" a="1"/>
  <c r="J398" i="1" a="1"/>
  <c r="J404" i="1" a="1"/>
  <c r="J410" i="1" a="1"/>
  <c r="J76" i="1" a="1"/>
  <c r="J97" i="1" a="1"/>
  <c r="J140" i="1" a="1"/>
  <c r="J313" i="1" a="1"/>
  <c r="J326" i="1" a="1"/>
  <c r="J334" i="1" a="1"/>
  <c r="J345" i="1" a="1"/>
  <c r="J353" i="1" a="1"/>
  <c r="J361" i="1" a="1"/>
  <c r="J369" i="1" a="1"/>
  <c r="J374" i="1" a="1"/>
  <c r="J379" i="1" a="1"/>
  <c r="J383" i="1" a="1"/>
  <c r="J387" i="1" a="1"/>
  <c r="J391" i="1" a="1"/>
  <c r="J395" i="1" a="1"/>
  <c r="J399" i="1" a="1"/>
  <c r="J403" i="1" a="1"/>
  <c r="J407" i="1" a="1"/>
  <c r="J411" i="1" a="1"/>
  <c r="J81" i="1" a="1"/>
  <c r="J317" i="1" a="1"/>
  <c r="J333" i="1" a="1"/>
  <c r="J346" i="1" a="1"/>
  <c r="J357" i="1" a="1"/>
  <c r="J370" i="1" a="1"/>
  <c r="J380" i="1" a="1"/>
  <c r="J386" i="1" a="1"/>
  <c r="J392" i="1" a="1"/>
  <c r="J396" i="1" a="1"/>
  <c r="J402" i="1" a="1"/>
  <c r="J408" i="1" a="1"/>
  <c r="J89" i="1" a="1"/>
  <c r="J100" i="1" a="1"/>
  <c r="J121" i="1" a="1"/>
  <c r="J132" i="1" a="1"/>
  <c r="J153" i="1" a="1"/>
  <c r="J164" i="1" a="1"/>
  <c r="J316" i="1" a="1"/>
  <c r="J319" i="1" a="1"/>
  <c r="J324" i="1" a="1"/>
  <c r="J327" i="1" a="1"/>
  <c r="J332" i="1" a="1"/>
  <c r="J335" i="1" a="1"/>
  <c r="J340" i="1" a="1"/>
  <c r="J343" i="1" a="1"/>
  <c r="J348" i="1" a="1"/>
  <c r="J351" i="1" a="1"/>
  <c r="J356" i="1" a="1"/>
  <c r="J359" i="1" a="1"/>
  <c r="J364" i="1" a="1"/>
  <c r="J367" i="1" a="1"/>
  <c r="J372" i="1" a="1"/>
  <c r="J375" i="1" a="1"/>
  <c r="J92" i="1" a="1"/>
  <c r="J156" i="1" a="1"/>
  <c r="J322" i="1" a="1"/>
  <c r="J330" i="1" a="1"/>
  <c r="J341" i="1" a="1"/>
  <c r="J354" i="1" a="1"/>
  <c r="J362" i="1" a="1"/>
  <c r="J373" i="1" a="1"/>
  <c r="J382" i="1" a="1"/>
  <c r="J388" i="1" a="1"/>
  <c r="J394" i="1" a="1"/>
  <c r="J400" i="1" a="1"/>
  <c r="J406" i="1" a="1"/>
  <c r="K394" i="1" l="1"/>
  <c r="K2" i="1"/>
  <c r="L403" i="1"/>
  <c r="L398" i="1"/>
  <c r="L387" i="1"/>
  <c r="L379" i="1"/>
  <c r="L371" i="1"/>
  <c r="L359" i="1"/>
  <c r="L351" i="1"/>
  <c r="L339" i="1"/>
  <c r="L325" i="1"/>
  <c r="L309" i="1"/>
  <c r="L293" i="1"/>
  <c r="L277" i="1"/>
  <c r="L255" i="1"/>
  <c r="L191" i="1"/>
  <c r="L408" i="1"/>
  <c r="L405" i="1"/>
  <c r="L397" i="1"/>
  <c r="L392" i="1"/>
  <c r="L389" i="1"/>
  <c r="L384" i="1"/>
  <c r="L381" i="1"/>
  <c r="L378" i="1"/>
  <c r="L374" i="1"/>
  <c r="L370" i="1"/>
  <c r="L366" i="1"/>
  <c r="L362" i="1"/>
  <c r="L358" i="1"/>
  <c r="L354" i="1"/>
  <c r="L350" i="1"/>
  <c r="L346" i="1"/>
  <c r="L342" i="1"/>
  <c r="L338" i="1"/>
  <c r="L331" i="1"/>
  <c r="L315" i="1"/>
  <c r="L307" i="1"/>
  <c r="L299" i="1"/>
  <c r="L291" i="1"/>
  <c r="L283" i="1"/>
  <c r="L275" i="1"/>
  <c r="L251" i="1"/>
  <c r="L235" i="1"/>
  <c r="L219" i="1"/>
  <c r="L203" i="1"/>
  <c r="L187" i="1"/>
  <c r="L410" i="1"/>
  <c r="L407" i="1"/>
  <c r="L402" i="1"/>
  <c r="L399" i="1"/>
  <c r="L394" i="1"/>
  <c r="L391" i="1"/>
  <c r="L386" i="1"/>
  <c r="L383" i="1"/>
  <c r="L377" i="1"/>
  <c r="L373" i="1"/>
  <c r="L369" i="1"/>
  <c r="L365" i="1"/>
  <c r="L361" i="1"/>
  <c r="L357" i="1"/>
  <c r="L353" i="1"/>
  <c r="L349" i="1"/>
  <c r="L345" i="1"/>
  <c r="L341" i="1"/>
  <c r="L337" i="1"/>
  <c r="L329" i="1"/>
  <c r="L321" i="1"/>
  <c r="L313" i="1"/>
  <c r="L305" i="1"/>
  <c r="L297" i="1"/>
  <c r="L289" i="1"/>
  <c r="L281" i="1"/>
  <c r="L273" i="1"/>
  <c r="L263" i="1"/>
  <c r="L247" i="1"/>
  <c r="L231" i="1"/>
  <c r="L215" i="1"/>
  <c r="L199" i="1"/>
  <c r="L183" i="1"/>
  <c r="L409" i="1"/>
  <c r="L404" i="1"/>
  <c r="L401" i="1"/>
  <c r="L396" i="1"/>
  <c r="L393" i="1"/>
  <c r="L388" i="1"/>
  <c r="L385" i="1"/>
  <c r="L380" i="1"/>
  <c r="L376" i="1"/>
  <c r="L372" i="1"/>
  <c r="L368" i="1"/>
  <c r="L364" i="1"/>
  <c r="L360" i="1"/>
  <c r="L356" i="1"/>
  <c r="L352" i="1"/>
  <c r="L348" i="1"/>
  <c r="L344" i="1"/>
  <c r="L340" i="1"/>
  <c r="L335" i="1"/>
  <c r="L327" i="1"/>
  <c r="L319" i="1"/>
  <c r="L311" i="1"/>
  <c r="L303" i="1"/>
  <c r="L295" i="1"/>
  <c r="L287" i="1"/>
  <c r="L279" i="1"/>
  <c r="L271" i="1"/>
  <c r="L259" i="1"/>
  <c r="L243" i="1"/>
  <c r="L227" i="1"/>
  <c r="L211" i="1"/>
  <c r="L195" i="1"/>
  <c r="L179" i="1"/>
  <c r="L367" i="1"/>
  <c r="L411" i="1"/>
  <c r="L406" i="1"/>
  <c r="L395" i="1"/>
  <c r="L390" i="1"/>
  <c r="L382" i="1"/>
  <c r="L375" i="1"/>
  <c r="L363" i="1"/>
  <c r="L355" i="1"/>
  <c r="L347" i="1"/>
  <c r="L343" i="1"/>
  <c r="L333" i="1"/>
  <c r="L317" i="1"/>
  <c r="L301" i="1"/>
  <c r="L285" i="1"/>
  <c r="L269" i="1"/>
  <c r="L239" i="1"/>
  <c r="L223" i="1"/>
  <c r="L207" i="1"/>
  <c r="L175" i="1"/>
  <c r="L400" i="1"/>
  <c r="L323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L272" i="1"/>
  <c r="L270" i="1"/>
  <c r="L268" i="1"/>
  <c r="L265" i="1"/>
  <c r="L261" i="1"/>
  <c r="L257" i="1"/>
  <c r="L253" i="1"/>
  <c r="L249" i="1"/>
  <c r="L245" i="1"/>
  <c r="L241" i="1"/>
  <c r="L237" i="1"/>
  <c r="L233" i="1"/>
  <c r="L229" i="1"/>
  <c r="L225" i="1"/>
  <c r="L221" i="1"/>
  <c r="L217" i="1"/>
  <c r="L213" i="1"/>
  <c r="L209" i="1"/>
  <c r="L205" i="1"/>
  <c r="L201" i="1"/>
  <c r="L197" i="1"/>
  <c r="L193" i="1"/>
  <c r="L189" i="1"/>
  <c r="L185" i="1"/>
  <c r="L181" i="1"/>
  <c r="L177" i="1"/>
  <c r="L173" i="1"/>
  <c r="L168" i="1"/>
  <c r="L157" i="1"/>
  <c r="L152" i="1"/>
  <c r="L141" i="1"/>
  <c r="L136" i="1"/>
  <c r="L125" i="1"/>
  <c r="L116" i="1"/>
  <c r="L105" i="1"/>
  <c r="L84" i="1"/>
  <c r="L267" i="1"/>
  <c r="L264" i="1"/>
  <c r="L260" i="1"/>
  <c r="L256" i="1"/>
  <c r="L252" i="1"/>
  <c r="L248" i="1"/>
  <c r="L244" i="1"/>
  <c r="L240" i="1"/>
  <c r="L236" i="1"/>
  <c r="L232" i="1"/>
  <c r="L228" i="1"/>
  <c r="L224" i="1"/>
  <c r="L220" i="1"/>
  <c r="L216" i="1"/>
  <c r="L212" i="1"/>
  <c r="L208" i="1"/>
  <c r="L204" i="1"/>
  <c r="L200" i="1"/>
  <c r="L196" i="1"/>
  <c r="L192" i="1"/>
  <c r="L188" i="1"/>
  <c r="L184" i="1"/>
  <c r="L180" i="1"/>
  <c r="L176" i="1"/>
  <c r="L172" i="1"/>
  <c r="L161" i="1"/>
  <c r="L156" i="1"/>
  <c r="L145" i="1"/>
  <c r="L140" i="1"/>
  <c r="L129" i="1"/>
  <c r="L124" i="1"/>
  <c r="L113" i="1"/>
  <c r="L92" i="1"/>
  <c r="L81" i="1"/>
  <c r="L165" i="1"/>
  <c r="L160" i="1"/>
  <c r="L149" i="1"/>
  <c r="L144" i="1"/>
  <c r="L133" i="1"/>
  <c r="L128" i="1"/>
  <c r="L121" i="1"/>
  <c r="L100" i="1"/>
  <c r="L89" i="1"/>
  <c r="L266" i="1"/>
  <c r="L262" i="1"/>
  <c r="L258" i="1"/>
  <c r="L254" i="1"/>
  <c r="L250" i="1"/>
  <c r="L246" i="1"/>
  <c r="L242" i="1"/>
  <c r="L238" i="1"/>
  <c r="L234" i="1"/>
  <c r="L230" i="1"/>
  <c r="L226" i="1"/>
  <c r="L222" i="1"/>
  <c r="L218" i="1"/>
  <c r="L214" i="1"/>
  <c r="L210" i="1"/>
  <c r="L206" i="1"/>
  <c r="L202" i="1"/>
  <c r="L198" i="1"/>
  <c r="L194" i="1"/>
  <c r="L190" i="1"/>
  <c r="L186" i="1"/>
  <c r="L182" i="1"/>
  <c r="L178" i="1"/>
  <c r="L174" i="1"/>
  <c r="L169" i="1"/>
  <c r="L164" i="1"/>
  <c r="L153" i="1"/>
  <c r="L148" i="1"/>
  <c r="L137" i="1"/>
  <c r="L132" i="1"/>
  <c r="L108" i="1"/>
  <c r="L97" i="1"/>
  <c r="L171" i="1"/>
  <c r="L166" i="1"/>
  <c r="L163" i="1"/>
  <c r="L158" i="1"/>
  <c r="L155" i="1"/>
  <c r="L150" i="1"/>
  <c r="L147" i="1"/>
  <c r="L142" i="1"/>
  <c r="L139" i="1"/>
  <c r="L134" i="1"/>
  <c r="L131" i="1"/>
  <c r="L126" i="1"/>
  <c r="L123" i="1"/>
  <c r="L118" i="1"/>
  <c r="L115" i="1"/>
  <c r="L110" i="1"/>
  <c r="L107" i="1"/>
  <c r="L102" i="1"/>
  <c r="L99" i="1"/>
  <c r="L94" i="1"/>
  <c r="L91" i="1"/>
  <c r="L86" i="1"/>
  <c r="L83" i="1"/>
  <c r="L78" i="1"/>
  <c r="L120" i="1"/>
  <c r="L117" i="1"/>
  <c r="L112" i="1"/>
  <c r="L109" i="1"/>
  <c r="L104" i="1"/>
  <c r="L101" i="1"/>
  <c r="L96" i="1"/>
  <c r="L93" i="1"/>
  <c r="L88" i="1"/>
  <c r="L85" i="1"/>
  <c r="L80" i="1"/>
  <c r="L77" i="1"/>
  <c r="L170" i="1"/>
  <c r="L167" i="1"/>
  <c r="L162" i="1"/>
  <c r="L159" i="1"/>
  <c r="L154" i="1"/>
  <c r="L151" i="1"/>
  <c r="L146" i="1"/>
  <c r="L143" i="1"/>
  <c r="L138" i="1"/>
  <c r="L135" i="1"/>
  <c r="L130" i="1"/>
  <c r="L127" i="1"/>
  <c r="L122" i="1"/>
  <c r="L119" i="1"/>
  <c r="L114" i="1"/>
  <c r="L111" i="1"/>
  <c r="L106" i="1"/>
  <c r="L103" i="1"/>
  <c r="L98" i="1"/>
  <c r="L95" i="1"/>
  <c r="L90" i="1"/>
  <c r="L87" i="1"/>
  <c r="L82" i="1"/>
  <c r="L79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2" i="1"/>
  <c r="L20" i="1"/>
  <c r="L18" i="1"/>
  <c r="L16" i="1"/>
  <c r="L14" i="1"/>
  <c r="L12" i="1"/>
  <c r="L10" i="1"/>
  <c r="L8" i="1"/>
  <c r="L6" i="1"/>
  <c r="L4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3" i="1"/>
  <c r="L2" i="1"/>
  <c r="K294" i="1"/>
  <c r="K274" i="1"/>
  <c r="K198" i="1"/>
  <c r="K353" i="1"/>
  <c r="K351" i="1"/>
  <c r="K349" i="1"/>
  <c r="K347" i="1"/>
  <c r="K345" i="1"/>
  <c r="K343" i="1"/>
  <c r="K341" i="1"/>
  <c r="K339" i="1"/>
  <c r="K337" i="1"/>
  <c r="K335" i="1"/>
  <c r="K333" i="1"/>
  <c r="K331" i="1"/>
  <c r="K329" i="1"/>
  <c r="K327" i="1"/>
  <c r="K325" i="1"/>
  <c r="K323" i="1"/>
  <c r="K321" i="1"/>
  <c r="K319" i="1"/>
  <c r="K317" i="1"/>
  <c r="K315" i="1"/>
  <c r="K313" i="1"/>
  <c r="K311" i="1"/>
  <c r="K309" i="1"/>
  <c r="K307" i="1"/>
  <c r="K305" i="1"/>
  <c r="K303" i="1"/>
  <c r="K301" i="1"/>
  <c r="K297" i="1"/>
  <c r="K293" i="1"/>
  <c r="K289" i="1"/>
  <c r="K285" i="1"/>
  <c r="K281" i="1"/>
  <c r="K277" i="1"/>
  <c r="K273" i="1"/>
  <c r="K269" i="1"/>
  <c r="K265" i="1"/>
  <c r="K261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290" i="1"/>
  <c r="K282" i="1"/>
  <c r="K270" i="1"/>
  <c r="K262" i="1"/>
  <c r="K254" i="1"/>
  <c r="K246" i="1"/>
  <c r="K238" i="1"/>
  <c r="K230" i="1"/>
  <c r="K222" i="1"/>
  <c r="K214" i="1"/>
  <c r="K206" i="1"/>
  <c r="K202" i="1"/>
  <c r="K190" i="1"/>
  <c r="K186" i="1"/>
  <c r="K182" i="1"/>
  <c r="K178" i="1"/>
  <c r="K411" i="1"/>
  <c r="K407" i="1"/>
  <c r="K403" i="1"/>
  <c r="K399" i="1"/>
  <c r="K395" i="1"/>
  <c r="K391" i="1"/>
  <c r="K387" i="1"/>
  <c r="K383" i="1"/>
  <c r="K379" i="1"/>
  <c r="K375" i="1"/>
  <c r="K371" i="1"/>
  <c r="K367" i="1"/>
  <c r="K363" i="1"/>
  <c r="K359" i="1"/>
  <c r="K355" i="1"/>
  <c r="K300" i="1"/>
  <c r="K296" i="1"/>
  <c r="K292" i="1"/>
  <c r="K288" i="1"/>
  <c r="K284" i="1"/>
  <c r="K280" i="1"/>
  <c r="K276" i="1"/>
  <c r="K272" i="1"/>
  <c r="K268" i="1"/>
  <c r="K264" i="1"/>
  <c r="K260" i="1"/>
  <c r="K256" i="1"/>
  <c r="K252" i="1"/>
  <c r="K248" i="1"/>
  <c r="K244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8" i="1"/>
  <c r="K184" i="1"/>
  <c r="K180" i="1"/>
  <c r="K175" i="1"/>
  <c r="K298" i="1"/>
  <c r="K286" i="1"/>
  <c r="K278" i="1"/>
  <c r="K266" i="1"/>
  <c r="K258" i="1"/>
  <c r="K250" i="1"/>
  <c r="K242" i="1"/>
  <c r="K234" i="1"/>
  <c r="K226" i="1"/>
  <c r="K218" i="1"/>
  <c r="K210" i="1"/>
  <c r="K194" i="1"/>
  <c r="K409" i="1"/>
  <c r="K405" i="1"/>
  <c r="K401" i="1"/>
  <c r="K397" i="1"/>
  <c r="K393" i="1"/>
  <c r="K389" i="1"/>
  <c r="K385" i="1"/>
  <c r="K381" i="1"/>
  <c r="K377" i="1"/>
  <c r="K373" i="1"/>
  <c r="K369" i="1"/>
  <c r="K365" i="1"/>
  <c r="K361" i="1"/>
  <c r="K357" i="1"/>
  <c r="K410" i="1"/>
  <c r="K408" i="1"/>
  <c r="K406" i="1"/>
  <c r="K404" i="1"/>
  <c r="K402" i="1"/>
  <c r="K400" i="1"/>
  <c r="K398" i="1"/>
  <c r="K396" i="1"/>
  <c r="K392" i="1"/>
  <c r="K390" i="1"/>
  <c r="K388" i="1"/>
  <c r="K386" i="1"/>
  <c r="K384" i="1"/>
  <c r="K382" i="1"/>
  <c r="K380" i="1"/>
  <c r="K378" i="1"/>
  <c r="K376" i="1"/>
  <c r="K374" i="1"/>
  <c r="K372" i="1"/>
  <c r="K370" i="1"/>
  <c r="K368" i="1"/>
  <c r="K366" i="1"/>
  <c r="K364" i="1"/>
  <c r="K362" i="1"/>
  <c r="K360" i="1"/>
  <c r="K358" i="1"/>
  <c r="K356" i="1"/>
  <c r="K354" i="1"/>
  <c r="K352" i="1"/>
  <c r="K350" i="1"/>
  <c r="K348" i="1"/>
  <c r="K346" i="1"/>
  <c r="K344" i="1"/>
  <c r="K342" i="1"/>
  <c r="K340" i="1"/>
  <c r="K338" i="1"/>
  <c r="K336" i="1"/>
  <c r="K334" i="1"/>
  <c r="K332" i="1"/>
  <c r="K330" i="1"/>
  <c r="K328" i="1"/>
  <c r="K326" i="1"/>
  <c r="K324" i="1"/>
  <c r="K322" i="1"/>
  <c r="K320" i="1"/>
  <c r="K318" i="1"/>
  <c r="K316" i="1"/>
  <c r="K314" i="1"/>
  <c r="K312" i="1"/>
  <c r="K310" i="1"/>
  <c r="K308" i="1"/>
  <c r="K306" i="1"/>
  <c r="K304" i="1"/>
  <c r="K302" i="1"/>
  <c r="K299" i="1"/>
  <c r="K295" i="1"/>
  <c r="K291" i="1"/>
  <c r="K287" i="1"/>
  <c r="K283" i="1"/>
  <c r="K279" i="1"/>
  <c r="K275" i="1"/>
  <c r="K271" i="1"/>
  <c r="K267" i="1"/>
  <c r="K263" i="1"/>
  <c r="K259" i="1"/>
  <c r="K255" i="1"/>
  <c r="K251" i="1"/>
  <c r="K247" i="1"/>
  <c r="K243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2" i="1"/>
  <c r="K174" i="1"/>
  <c r="K176" i="1"/>
  <c r="K173" i="1"/>
  <c r="K171" i="1"/>
  <c r="K169" i="1"/>
  <c r="K167" i="1"/>
  <c r="K165" i="1"/>
  <c r="K163" i="1"/>
  <c r="K161" i="1"/>
  <c r="K159" i="1"/>
  <c r="K157" i="1"/>
  <c r="K155" i="1"/>
  <c r="K153" i="1"/>
  <c r="K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9" i="1"/>
  <c r="K107" i="1"/>
  <c r="K105" i="1"/>
  <c r="K103" i="1"/>
  <c r="K101" i="1"/>
  <c r="K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K21" i="1"/>
  <c r="K19" i="1"/>
  <c r="K17" i="1"/>
  <c r="K15" i="1"/>
  <c r="K13" i="1"/>
  <c r="K11" i="1"/>
  <c r="K9" i="1"/>
  <c r="K7" i="1"/>
  <c r="K170" i="1"/>
  <c r="K168" i="1"/>
  <c r="K166" i="1"/>
  <c r="K164" i="1"/>
  <c r="K162" i="1"/>
  <c r="K160" i="1"/>
  <c r="K158" i="1"/>
  <c r="K156" i="1"/>
  <c r="K154" i="1"/>
  <c r="K152" i="1"/>
  <c r="K150" i="1"/>
  <c r="K148" i="1"/>
  <c r="K146" i="1"/>
  <c r="K144" i="1"/>
  <c r="K142" i="1"/>
  <c r="K140" i="1"/>
  <c r="K138" i="1"/>
  <c r="K136" i="1"/>
  <c r="K134" i="1"/>
  <c r="K132" i="1"/>
  <c r="K130" i="1"/>
  <c r="K128" i="1"/>
  <c r="K126" i="1"/>
  <c r="K124" i="1"/>
  <c r="K122" i="1"/>
  <c r="K120" i="1"/>
  <c r="K118" i="1"/>
  <c r="K116" i="1"/>
  <c r="K114" i="1"/>
  <c r="K112" i="1"/>
  <c r="K110" i="1"/>
  <c r="K108" i="1"/>
  <c r="K106" i="1"/>
  <c r="K104" i="1"/>
  <c r="K102" i="1"/>
  <c r="K100" i="1"/>
  <c r="K98" i="1"/>
  <c r="K96" i="1"/>
  <c r="K94" i="1"/>
  <c r="K92" i="1"/>
  <c r="K90" i="1"/>
  <c r="K88" i="1"/>
  <c r="K86" i="1"/>
  <c r="K84" i="1"/>
  <c r="K82" i="1"/>
  <c r="K80" i="1"/>
  <c r="K78" i="1"/>
  <c r="K76" i="1"/>
  <c r="K74" i="1"/>
  <c r="K72" i="1"/>
  <c r="K70" i="1"/>
  <c r="K68" i="1"/>
  <c r="K66" i="1"/>
  <c r="K64" i="1"/>
  <c r="K62" i="1"/>
  <c r="K60" i="1"/>
  <c r="K58" i="1"/>
  <c r="K56" i="1"/>
  <c r="K54" i="1"/>
  <c r="K52" i="1"/>
  <c r="K50" i="1"/>
  <c r="K48" i="1"/>
  <c r="K46" i="1"/>
  <c r="K44" i="1"/>
  <c r="K42" i="1"/>
  <c r="K40" i="1"/>
  <c r="K38" i="1"/>
  <c r="K36" i="1"/>
  <c r="K34" i="1"/>
  <c r="K32" i="1"/>
  <c r="K30" i="1"/>
  <c r="K28" i="1"/>
  <c r="K26" i="1"/>
  <c r="K24" i="1"/>
  <c r="K22" i="1"/>
  <c r="K20" i="1"/>
  <c r="K18" i="1"/>
  <c r="K16" i="1"/>
  <c r="K14" i="1"/>
  <c r="K12" i="1"/>
  <c r="K10" i="1"/>
  <c r="K8" i="1"/>
  <c r="K6" i="1"/>
  <c r="K5" i="1"/>
  <c r="K4" i="1"/>
  <c r="K3" i="1"/>
  <c r="J406" i="1"/>
  <c r="J400" i="1"/>
  <c r="J394" i="1"/>
  <c r="J388" i="1"/>
  <c r="J382" i="1"/>
  <c r="J373" i="1"/>
  <c r="J362" i="1"/>
  <c r="J354" i="1"/>
  <c r="J341" i="1"/>
  <c r="J330" i="1"/>
  <c r="J322" i="1"/>
  <c r="J156" i="1"/>
  <c r="J92" i="1"/>
  <c r="J375" i="1"/>
  <c r="J372" i="1"/>
  <c r="J367" i="1"/>
  <c r="J364" i="1"/>
  <c r="J359" i="1"/>
  <c r="J356" i="1"/>
  <c r="J351" i="1"/>
  <c r="J348" i="1"/>
  <c r="J343" i="1"/>
  <c r="J340" i="1"/>
  <c r="J335" i="1"/>
  <c r="J332" i="1"/>
  <c r="J327" i="1"/>
  <c r="J324" i="1"/>
  <c r="J319" i="1"/>
  <c r="J316" i="1"/>
  <c r="J164" i="1"/>
  <c r="J153" i="1"/>
  <c r="J132" i="1"/>
  <c r="J121" i="1"/>
  <c r="J100" i="1"/>
  <c r="J89" i="1"/>
  <c r="J408" i="1"/>
  <c r="J402" i="1"/>
  <c r="J396" i="1"/>
  <c r="J392" i="1"/>
  <c r="J386" i="1"/>
  <c r="J380" i="1"/>
  <c r="J370" i="1"/>
  <c r="J357" i="1"/>
  <c r="J346" i="1"/>
  <c r="J333" i="1"/>
  <c r="J317" i="1"/>
  <c r="J81" i="1"/>
  <c r="J411" i="1"/>
  <c r="J407" i="1"/>
  <c r="J403" i="1"/>
  <c r="J399" i="1"/>
  <c r="J395" i="1"/>
  <c r="J391" i="1"/>
  <c r="J387" i="1"/>
  <c r="J383" i="1"/>
  <c r="J379" i="1"/>
  <c r="J374" i="1"/>
  <c r="J369" i="1"/>
  <c r="J361" i="1"/>
  <c r="J353" i="1"/>
  <c r="J345" i="1"/>
  <c r="J334" i="1"/>
  <c r="J326" i="1"/>
  <c r="J313" i="1"/>
  <c r="J140" i="1"/>
  <c r="J97" i="1"/>
  <c r="J76" i="1"/>
  <c r="J410" i="1"/>
  <c r="J404" i="1"/>
  <c r="J398" i="1"/>
  <c r="J390" i="1"/>
  <c r="J384" i="1"/>
  <c r="J378" i="1"/>
  <c r="J365" i="1"/>
  <c r="J349" i="1"/>
  <c r="J338" i="1"/>
  <c r="J325" i="1"/>
  <c r="J314" i="1"/>
  <c r="J145" i="1"/>
  <c r="J124" i="1"/>
  <c r="J113" i="1"/>
  <c r="J409" i="1"/>
  <c r="J405" i="1"/>
  <c r="J401" i="1"/>
  <c r="J397" i="1"/>
  <c r="J393" i="1"/>
  <c r="J389" i="1"/>
  <c r="J385" i="1"/>
  <c r="J381" i="1"/>
  <c r="J377" i="1"/>
  <c r="J366" i="1"/>
  <c r="J358" i="1"/>
  <c r="J350" i="1"/>
  <c r="J342" i="1"/>
  <c r="J337" i="1"/>
  <c r="J329" i="1"/>
  <c r="J321" i="1"/>
  <c r="J318" i="1"/>
  <c r="J161" i="1"/>
  <c r="J129" i="1"/>
  <c r="J108" i="1"/>
  <c r="J376" i="1"/>
  <c r="J371" i="1"/>
  <c r="J368" i="1"/>
  <c r="J363" i="1"/>
  <c r="J360" i="1"/>
  <c r="J355" i="1"/>
  <c r="J352" i="1"/>
  <c r="J347" i="1"/>
  <c r="J344" i="1"/>
  <c r="J339" i="1"/>
  <c r="J336" i="1"/>
  <c r="J331" i="1"/>
  <c r="J328" i="1"/>
  <c r="J323" i="1"/>
  <c r="J320" i="1"/>
  <c r="J315" i="1"/>
  <c r="J312" i="1"/>
  <c r="J169" i="1"/>
  <c r="J148" i="1"/>
  <c r="J137" i="1"/>
  <c r="J116" i="1"/>
  <c r="J105" i="1"/>
  <c r="J84" i="1"/>
  <c r="J72" i="1"/>
  <c r="J311" i="1"/>
  <c r="J309" i="1"/>
  <c r="J307" i="1"/>
  <c r="J305" i="1"/>
  <c r="J303" i="1"/>
  <c r="J301" i="1"/>
  <c r="J299" i="1"/>
  <c r="J297" i="1"/>
  <c r="J295" i="1"/>
  <c r="J293" i="1"/>
  <c r="J291" i="1"/>
  <c r="J289" i="1"/>
  <c r="J287" i="1"/>
  <c r="J285" i="1"/>
  <c r="J283" i="1"/>
  <c r="J281" i="1"/>
  <c r="J279" i="1"/>
  <c r="J277" i="1"/>
  <c r="J275" i="1"/>
  <c r="J273" i="1"/>
  <c r="J271" i="1"/>
  <c r="J269" i="1"/>
  <c r="J267" i="1"/>
  <c r="J265" i="1"/>
  <c r="J263" i="1"/>
  <c r="J261" i="1"/>
  <c r="J259" i="1"/>
  <c r="J257" i="1"/>
  <c r="J255" i="1"/>
  <c r="J253" i="1"/>
  <c r="J251" i="1"/>
  <c r="J249" i="1"/>
  <c r="J247" i="1"/>
  <c r="J245" i="1"/>
  <c r="J243" i="1"/>
  <c r="J241" i="1"/>
  <c r="J239" i="1"/>
  <c r="J237" i="1"/>
  <c r="J235" i="1"/>
  <c r="J233" i="1"/>
  <c r="J231" i="1"/>
  <c r="J229" i="1"/>
  <c r="J227" i="1"/>
  <c r="J225" i="1"/>
  <c r="J223" i="1"/>
  <c r="J221" i="1"/>
  <c r="J219" i="1"/>
  <c r="J217" i="1"/>
  <c r="J215" i="1"/>
  <c r="J213" i="1"/>
  <c r="J211" i="1"/>
  <c r="J209" i="1"/>
  <c r="J207" i="1"/>
  <c r="J205" i="1"/>
  <c r="J203" i="1"/>
  <c r="J201" i="1"/>
  <c r="J199" i="1"/>
  <c r="J197" i="1"/>
  <c r="J195" i="1"/>
  <c r="J193" i="1"/>
  <c r="J191" i="1"/>
  <c r="J189" i="1"/>
  <c r="J187" i="1"/>
  <c r="J185" i="1"/>
  <c r="J183" i="1"/>
  <c r="J181" i="1"/>
  <c r="J179" i="1"/>
  <c r="J177" i="1"/>
  <c r="J175" i="1"/>
  <c r="J173" i="1"/>
  <c r="J171" i="1"/>
  <c r="J166" i="1"/>
  <c r="J163" i="1"/>
  <c r="J158" i="1"/>
  <c r="J155" i="1"/>
  <c r="J150" i="1"/>
  <c r="J147" i="1"/>
  <c r="J142" i="1"/>
  <c r="J139" i="1"/>
  <c r="J134" i="1"/>
  <c r="J131" i="1"/>
  <c r="J126" i="1"/>
  <c r="J123" i="1"/>
  <c r="J118" i="1"/>
  <c r="J115" i="1"/>
  <c r="J110" i="1"/>
  <c r="J107" i="1"/>
  <c r="J102" i="1"/>
  <c r="J99" i="1"/>
  <c r="J94" i="1"/>
  <c r="J91" i="1"/>
  <c r="J86" i="1"/>
  <c r="J83" i="1"/>
  <c r="J78" i="1"/>
  <c r="J168" i="1"/>
  <c r="J165" i="1"/>
  <c r="J160" i="1"/>
  <c r="J157" i="1"/>
  <c r="J152" i="1"/>
  <c r="J149" i="1"/>
  <c r="J144" i="1"/>
  <c r="J141" i="1"/>
  <c r="J136" i="1"/>
  <c r="J133" i="1"/>
  <c r="J128" i="1"/>
  <c r="J125" i="1"/>
  <c r="J120" i="1"/>
  <c r="J117" i="1"/>
  <c r="J112" i="1"/>
  <c r="J109" i="1"/>
  <c r="J104" i="1"/>
  <c r="J101" i="1"/>
  <c r="J96" i="1"/>
  <c r="J93" i="1"/>
  <c r="J88" i="1"/>
  <c r="J85" i="1"/>
  <c r="J80" i="1"/>
  <c r="J77" i="1"/>
  <c r="J74" i="1"/>
  <c r="J310" i="1"/>
  <c r="J308" i="1"/>
  <c r="J306" i="1"/>
  <c r="J304" i="1"/>
  <c r="J302" i="1"/>
  <c r="J300" i="1"/>
  <c r="J298" i="1"/>
  <c r="J296" i="1"/>
  <c r="J294" i="1"/>
  <c r="J292" i="1"/>
  <c r="J290" i="1"/>
  <c r="J288" i="1"/>
  <c r="J286" i="1"/>
  <c r="J284" i="1"/>
  <c r="J282" i="1"/>
  <c r="J280" i="1"/>
  <c r="J278" i="1"/>
  <c r="J276" i="1"/>
  <c r="J274" i="1"/>
  <c r="J272" i="1"/>
  <c r="J270" i="1"/>
  <c r="J268" i="1"/>
  <c r="J266" i="1"/>
  <c r="J264" i="1"/>
  <c r="J262" i="1"/>
  <c r="J260" i="1"/>
  <c r="J258" i="1"/>
  <c r="J256" i="1"/>
  <c r="J254" i="1"/>
  <c r="J252" i="1"/>
  <c r="J250" i="1"/>
  <c r="J248" i="1"/>
  <c r="J246" i="1"/>
  <c r="J244" i="1"/>
  <c r="J242" i="1"/>
  <c r="J240" i="1"/>
  <c r="J238" i="1"/>
  <c r="J236" i="1"/>
  <c r="J234" i="1"/>
  <c r="J232" i="1"/>
  <c r="J230" i="1"/>
  <c r="J228" i="1"/>
  <c r="J226" i="1"/>
  <c r="J224" i="1"/>
  <c r="J222" i="1"/>
  <c r="J220" i="1"/>
  <c r="J218" i="1"/>
  <c r="J216" i="1"/>
  <c r="J214" i="1"/>
  <c r="J212" i="1"/>
  <c r="J210" i="1"/>
  <c r="J208" i="1"/>
  <c r="J206" i="1"/>
  <c r="J204" i="1"/>
  <c r="J202" i="1"/>
  <c r="J200" i="1"/>
  <c r="J198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7" i="1"/>
  <c r="J162" i="1"/>
  <c r="J159" i="1"/>
  <c r="J154" i="1"/>
  <c r="J151" i="1"/>
  <c r="J146" i="1"/>
  <c r="J143" i="1"/>
  <c r="J138" i="1"/>
  <c r="J135" i="1"/>
  <c r="J130" i="1"/>
  <c r="J127" i="1"/>
  <c r="J122" i="1"/>
  <c r="J119" i="1"/>
  <c r="J114" i="1"/>
  <c r="J111" i="1"/>
  <c r="J106" i="1"/>
  <c r="J103" i="1"/>
  <c r="J98" i="1"/>
  <c r="J95" i="1"/>
  <c r="J90" i="1"/>
  <c r="J87" i="1"/>
  <c r="J82" i="1"/>
  <c r="J79" i="1"/>
  <c r="J70" i="1"/>
  <c r="J68" i="1"/>
  <c r="J66" i="1"/>
  <c r="J64" i="1"/>
  <c r="J62" i="1"/>
  <c r="J60" i="1"/>
  <c r="J58" i="1"/>
  <c r="J56" i="1"/>
  <c r="J54" i="1"/>
  <c r="J52" i="1"/>
  <c r="J50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12" i="1"/>
  <c r="J10" i="1"/>
  <c r="J8" i="1"/>
  <c r="J6" i="1"/>
  <c r="J4" i="1"/>
  <c r="J2" i="1"/>
  <c r="J75" i="1"/>
  <c r="J73" i="1"/>
  <c r="J71" i="1"/>
  <c r="J69" i="1"/>
  <c r="J67" i="1"/>
  <c r="J65" i="1"/>
  <c r="J63" i="1"/>
  <c r="J61" i="1"/>
  <c r="J59" i="1"/>
  <c r="J57" i="1"/>
  <c r="J55" i="1"/>
  <c r="J53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1" i="1"/>
  <c r="J9" i="1"/>
  <c r="J7" i="1"/>
  <c r="J5" i="1"/>
  <c r="J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<sst xmlns="http://schemas.openxmlformats.org/spreadsheetml/2006/main" count="1340" uniqueCount="720">
  <si>
    <t>COR</t>
  </si>
  <si>
    <t>DATA DA SOLICITAÇÃO</t>
  </si>
  <si>
    <t>SOLICITADO POR:</t>
  </si>
  <si>
    <t>PROCESSO/ DOCUMENTO</t>
  </si>
  <si>
    <t xml:space="preserve">AUTORIZAÇÃO </t>
  </si>
  <si>
    <t>EVENTO</t>
  </si>
  <si>
    <t>DATA DO EVENTO</t>
  </si>
  <si>
    <t>NOTÍCIAS</t>
  </si>
  <si>
    <t>OBSERVAÇÃO</t>
  </si>
  <si>
    <r>
      <rPr>
        <b/>
        <sz val="10"/>
        <color theme="1"/>
        <rFont val="Aptos Narrow"/>
        <family val="2"/>
        <scheme val="minor"/>
      </rPr>
      <t>Senador Fabiano Contarato</t>
    </r>
    <r>
      <rPr>
        <sz val="10"/>
        <color theme="1"/>
        <rFont val="Aptos Narrow"/>
        <family val="2"/>
        <scheme val="minor"/>
      </rPr>
      <t xml:space="preserve">
Contato: 3303-9049</t>
    </r>
  </si>
  <si>
    <t>00200.0022151/2024-48</t>
  </si>
  <si>
    <t>SIM
00100.228995/2024-29</t>
  </si>
  <si>
    <r>
      <t xml:space="preserve">Campanha Janeiro Roxo:
Conscientização ao 
Dia  Mundial  Contra  a  Hanseníase  e  ao  Dia  Mundial  das  Doenças  Tropicais 
Negligenciadas
</t>
    </r>
    <r>
      <rPr>
        <b/>
        <sz val="10"/>
        <color theme="1"/>
        <rFont val="Aptos Narrow"/>
        <family val="2"/>
        <scheme val="minor"/>
      </rPr>
      <t>(COR ROXA)</t>
    </r>
  </si>
  <si>
    <t>26/01/2025
a
30/01/2025</t>
  </si>
  <si>
    <t>PELÍCULAS ENTREGUES
em 24/01/2025</t>
  </si>
  <si>
    <r>
      <rPr>
        <b/>
        <sz val="10"/>
        <color theme="1"/>
        <rFont val="Aptos Narrow"/>
        <family val="2"/>
        <scheme val="minor"/>
      </rPr>
      <t>Bruno Olímpio</t>
    </r>
    <r>
      <rPr>
        <sz val="10"/>
        <color theme="1"/>
        <rFont val="Aptos Narrow"/>
        <family val="2"/>
        <scheme val="minor"/>
      </rPr>
      <t xml:space="preserve"> 
Administrador Regional do Plano Piloto
Contato: 3329-0400</t>
    </r>
  </si>
  <si>
    <t>00200.000279/2025-31</t>
  </si>
  <si>
    <t>SIM
00100.001894/2025-93</t>
  </si>
  <si>
    <t>PROJEÇÃO</t>
  </si>
  <si>
    <t>Deputadas Federal Erika Hilton e
 Deputada Federal Duda Salabert
Contato: 3215-5636
Vitória Regina</t>
  </si>
  <si>
    <t>00200.000725/2025-16</t>
  </si>
  <si>
    <t>SIM
00100009851/2025-56</t>
  </si>
  <si>
    <t>PROJEÇÃO
Dia Nacional da Visibilidade Trans</t>
  </si>
  <si>
    <t>29/01/2025
(19h às 22h)</t>
  </si>
  <si>
    <t xml:space="preserve">
</t>
  </si>
  <si>
    <t>Autorizado pela Câmara dos Deputados</t>
  </si>
  <si>
    <r>
      <rPr>
        <b/>
        <sz val="10"/>
        <color theme="1"/>
        <rFont val="Aptos Narrow"/>
        <family val="2"/>
        <scheme val="minor"/>
      </rPr>
      <t>Senadora Zenaide Maia</t>
    </r>
    <r>
      <rPr>
        <sz val="10"/>
        <color theme="1"/>
        <rFont val="Aptos Narrow"/>
        <family val="2"/>
        <scheme val="minor"/>
      </rPr>
      <t xml:space="preserve">
Procuradoria Especial da Mulher
Contato: 3303-1710/ 1716
</t>
    </r>
  </si>
  <si>
    <t>00200.022124/2024-75</t>
  </si>
  <si>
    <t>SIM
00100.229439/2024-70</t>
  </si>
  <si>
    <r>
      <t xml:space="preserve">Dia Mundial do Câncer
</t>
    </r>
    <r>
      <rPr>
        <b/>
        <sz val="10"/>
        <color theme="1"/>
        <rFont val="Aptos Narrow"/>
        <family val="2"/>
        <scheme val="minor"/>
      </rPr>
      <t>(COR ROXA)</t>
    </r>
  </si>
  <si>
    <t xml:space="preserve">
PELÍCULAS ENTREGUES
em 04/02/2025</t>
  </si>
  <si>
    <r>
      <rPr>
        <b/>
        <sz val="10"/>
        <color theme="1"/>
        <rFont val="Aptos Narrow"/>
        <family val="2"/>
        <scheme val="minor"/>
      </rPr>
      <t>Senador Flávio Arns</t>
    </r>
    <r>
      <rPr>
        <sz val="10"/>
        <color theme="1"/>
        <rFont val="Aptos Narrow"/>
        <family val="2"/>
        <scheme val="minor"/>
      </rPr>
      <t xml:space="preserve">
Contato: 3303-6301</t>
    </r>
  </si>
  <si>
    <t>00200.018442/2024-31</t>
  </si>
  <si>
    <t>SIM
00100.180659/2024-98</t>
  </si>
  <si>
    <r>
      <t xml:space="preserve">Dia Internacional da Síndrome de Angelman
</t>
    </r>
    <r>
      <rPr>
        <b/>
        <sz val="10"/>
        <color theme="1"/>
        <rFont val="Aptos Narrow"/>
        <family val="2"/>
        <scheme val="minor"/>
      </rPr>
      <t>(COR AZUL)</t>
    </r>
  </si>
  <si>
    <t>14/02/2025
a
15/02/2025</t>
  </si>
  <si>
    <t>PELÍCULAS ENTREGUES
em 14/02/2025</t>
  </si>
  <si>
    <r>
      <rPr>
        <b/>
        <sz val="10"/>
        <color theme="1"/>
        <rFont val="Aptos Narrow"/>
        <family val="2"/>
        <scheme val="minor"/>
      </rPr>
      <t>Senador Romário</t>
    </r>
    <r>
      <rPr>
        <sz val="10"/>
        <color theme="1"/>
        <rFont val="Aptos Narrow"/>
        <family val="2"/>
        <scheme val="minor"/>
      </rPr>
      <t xml:space="preserve">
Contato: 3303-6518 / 6519
</t>
    </r>
    <r>
      <rPr>
        <b/>
        <sz val="10"/>
        <color theme="1"/>
        <rFont val="Aptos Narrow"/>
        <family val="2"/>
        <scheme val="minor"/>
      </rPr>
      <t>Senador Giordano</t>
    </r>
    <r>
      <rPr>
        <sz val="10"/>
        <color theme="1"/>
        <rFont val="Aptos Narrow"/>
        <family val="2"/>
        <scheme val="minor"/>
      </rPr>
      <t xml:space="preserve">
Contato: 3303-4177 / 4175</t>
    </r>
  </si>
  <si>
    <t>00200.002074/2025-91</t>
  </si>
  <si>
    <t>SIM
00100.018505/2025-69</t>
  </si>
  <si>
    <r>
      <t xml:space="preserve">Fevereiro Roxo: 
Lúpus, Fibromialgia e Mal de 
Alzheimer 
</t>
    </r>
    <r>
      <rPr>
        <b/>
        <sz val="10"/>
        <color theme="1"/>
        <rFont val="Aptos Narrow"/>
        <family val="2"/>
        <scheme val="minor"/>
      </rPr>
      <t>(COR ROXA)</t>
    </r>
  </si>
  <si>
    <t>16/02/2025
a
18/02/2025</t>
  </si>
  <si>
    <r>
      <t xml:space="preserve">Deputado Dr. Zacharias Calil
</t>
    </r>
    <r>
      <rPr>
        <sz val="10"/>
        <color theme="1"/>
        <rFont val="Aptos Narrow"/>
        <family val="2"/>
        <scheme val="minor"/>
      </rPr>
      <t>Contato: 3215-5616</t>
    </r>
  </si>
  <si>
    <t>00200.000679/2025-47</t>
  </si>
  <si>
    <t>SIM
00100.006136/2025-61</t>
  </si>
  <si>
    <r>
      <t xml:space="preserve">Dia Nacional da Criança Traqueostomizada
</t>
    </r>
    <r>
      <rPr>
        <b/>
        <sz val="10"/>
        <color theme="1"/>
        <rFont val="Aptos Narrow"/>
        <family val="2"/>
        <scheme val="minor"/>
      </rPr>
      <t>(COR ROXA)</t>
    </r>
  </si>
  <si>
    <t>Tramitado para a Câmara dos Deputados autorizar</t>
  </si>
  <si>
    <t>Cúpula</t>
  </si>
  <si>
    <r>
      <t xml:space="preserve">Senador Carlos Portinho
</t>
    </r>
    <r>
      <rPr>
        <sz val="10"/>
        <color theme="1"/>
        <rFont val="Aptos Narrow"/>
        <family val="2"/>
        <scheme val="minor"/>
      </rPr>
      <t>Contato: 3303-6640/ 6613</t>
    </r>
  </si>
  <si>
    <t>00200.003357/2025-50</t>
  </si>
  <si>
    <t>SIM
00100.029645/2025-62</t>
  </si>
  <si>
    <r>
      <t xml:space="preserve">Homenagem aos atletas medalhistas brasileiros, o tenista João França e o surfista Ítalo Ferreira
</t>
    </r>
    <r>
      <rPr>
        <b/>
        <sz val="10"/>
        <color theme="1"/>
        <rFont val="Aptos Narrow"/>
        <family val="2"/>
        <scheme val="minor"/>
      </rPr>
      <t>(COR VERDE na Cúpula e
COR AMARELA no Anexo I)</t>
    </r>
  </si>
  <si>
    <t>25/02/2025
a
26/02/2025</t>
  </si>
  <si>
    <t>PELÍCULAS ENTREGUES
em 25/02/2025</t>
  </si>
  <si>
    <t>Anexo I</t>
  </si>
  <si>
    <r>
      <rPr>
        <b/>
        <sz val="10"/>
        <color theme="1"/>
        <rFont val="Aptos Narrow"/>
        <family val="2"/>
        <scheme val="minor"/>
      </rPr>
      <t>Senador Nelsinho Trad</t>
    </r>
    <r>
      <rPr>
        <sz val="10"/>
        <color theme="1"/>
        <rFont val="Aptos Narrow"/>
        <family val="2"/>
        <scheme val="minor"/>
      </rPr>
      <t xml:space="preserve">
Contato: 3303-6767</t>
    </r>
  </si>
  <si>
    <t>00200.018267/2024-82</t>
  </si>
  <si>
    <t>SIM
00100.178568/2024-92</t>
  </si>
  <si>
    <r>
      <t xml:space="preserve">Dia Mundial das Doenças Raras
</t>
    </r>
    <r>
      <rPr>
        <b/>
        <sz val="10"/>
        <color theme="1"/>
        <rFont val="Aptos Narrow"/>
        <family val="2"/>
        <scheme val="minor"/>
      </rPr>
      <t>(COR VERDE na Cúpula e
COR ROSA no Anexo I)</t>
    </r>
  </si>
  <si>
    <t>27/02/2025
a
28/02/2025</t>
  </si>
  <si>
    <r>
      <rPr>
        <b/>
        <sz val="10"/>
        <color theme="1"/>
        <rFont val="Aptos Narrow"/>
        <family val="2"/>
        <scheme val="minor"/>
      </rPr>
      <t xml:space="preserve">Senadora Mara Gabrilli
</t>
    </r>
    <r>
      <rPr>
        <sz val="10"/>
        <color theme="1"/>
        <rFont val="Aptos Narrow"/>
        <family val="2"/>
        <scheme val="minor"/>
      </rPr>
      <t xml:space="preserve">Contato: 3303-2191
</t>
    </r>
    <r>
      <rPr>
        <b/>
        <sz val="10"/>
        <color theme="1"/>
        <rFont val="Aptos Narrow"/>
        <family val="2"/>
        <scheme val="minor"/>
      </rPr>
      <t>Deputada Federal Nely Aquino</t>
    </r>
    <r>
      <rPr>
        <sz val="10"/>
        <color theme="1"/>
        <rFont val="Aptos Narrow"/>
        <family val="2"/>
        <scheme val="minor"/>
      </rPr>
      <t xml:space="preserve">
Contato: 3215-5943</t>
    </r>
  </si>
  <si>
    <t>00200.002010/2025-90</t>
  </si>
  <si>
    <t>SIM
00100.017827/2025-91</t>
  </si>
  <si>
    <r>
      <rPr>
        <b/>
        <sz val="10"/>
        <color theme="1"/>
        <rFont val="Aptos Narrow"/>
        <family val="2"/>
        <scheme val="minor"/>
      </rPr>
      <t>Senador Romário</t>
    </r>
    <r>
      <rPr>
        <sz val="10"/>
        <color theme="1"/>
        <rFont val="Aptos Narrow"/>
        <family val="2"/>
        <scheme val="minor"/>
      </rPr>
      <t xml:space="preserve">
Contato: 3303-6518 / 6519</t>
    </r>
  </si>
  <si>
    <r>
      <t xml:space="preserve">Dia Internacional da Mulher
</t>
    </r>
    <r>
      <rPr>
        <b/>
        <sz val="10"/>
        <color theme="1"/>
        <rFont val="Aptos Narrow"/>
        <family val="2"/>
        <scheme val="minor"/>
      </rPr>
      <t>(COR ROXA)</t>
    </r>
  </si>
  <si>
    <t>07/03/2025
a
08/03/2025</t>
  </si>
  <si>
    <t>PELÍCULAS ENTREGUES
em 07/03/2025</t>
  </si>
  <si>
    <r>
      <t xml:space="preserve">Senadora Leila Barros
</t>
    </r>
    <r>
      <rPr>
        <sz val="10"/>
        <color theme="1"/>
        <rFont val="Aptos Narrow"/>
        <family val="2"/>
        <scheme val="minor"/>
      </rPr>
      <t>Contato: 3303-6427</t>
    </r>
  </si>
  <si>
    <t>00200.004195/2025-77</t>
  </si>
  <si>
    <t>SIM
00100.037117/2025-87</t>
  </si>
  <si>
    <r>
      <t xml:space="preserve">Dia Internacional da Mulher
</t>
    </r>
    <r>
      <rPr>
        <b/>
        <sz val="10"/>
        <color theme="1"/>
        <rFont val="Aptos Narrow"/>
        <family val="2"/>
        <scheme val="minor"/>
      </rPr>
      <t>(COR LILÁS)</t>
    </r>
  </si>
  <si>
    <r>
      <rPr>
        <b/>
        <sz val="10"/>
        <color theme="1"/>
        <rFont val="Aptos Narrow"/>
        <family val="2"/>
        <scheme val="minor"/>
      </rPr>
      <t>Deputado Federal Zacharias Calil</t>
    </r>
    <r>
      <rPr>
        <sz val="10"/>
        <color theme="1"/>
        <rFont val="Aptos Narrow"/>
        <family val="2"/>
        <scheme val="minor"/>
      </rPr>
      <t xml:space="preserve">
Contato: 3215-5616</t>
    </r>
  </si>
  <si>
    <t>00200.002104/2025-69</t>
  </si>
  <si>
    <t>SIM
00100.018612/2025-97</t>
  </si>
  <si>
    <r>
      <t xml:space="preserve">Dia Internacional da Obesidade
</t>
    </r>
    <r>
      <rPr>
        <b/>
        <sz val="10"/>
        <color theme="1"/>
        <rFont val="Aptos Narrow"/>
        <family val="2"/>
        <scheme val="minor"/>
      </rPr>
      <t>(COR ROXA)</t>
    </r>
  </si>
  <si>
    <t>PELÍCULAS ENTREGUES
em 12/03/2025</t>
  </si>
  <si>
    <t>00200.002104/2025-70</t>
  </si>
  <si>
    <r>
      <t xml:space="preserve">Dia Mundial dos Rins
</t>
    </r>
    <r>
      <rPr>
        <b/>
        <sz val="10"/>
        <color theme="1"/>
        <rFont val="Aptos Narrow"/>
        <family val="2"/>
        <scheme val="minor"/>
      </rPr>
      <t>(COR AZUL na Cúpula e
COR VERMELHA no Anexo I)</t>
    </r>
  </si>
  <si>
    <r>
      <rPr>
        <b/>
        <sz val="10"/>
        <color theme="1"/>
        <rFont val="Aptos Narrow"/>
        <family val="2"/>
        <scheme val="minor"/>
      </rPr>
      <t>Senadora Leila Barros</t>
    </r>
    <r>
      <rPr>
        <sz val="10"/>
        <color theme="1"/>
        <rFont val="Aptos Narrow"/>
        <family val="2"/>
        <scheme val="minor"/>
      </rPr>
      <t xml:space="preserve">
Contato: 3303-6427</t>
    </r>
  </si>
  <si>
    <t>00200.004231/2025-01</t>
  </si>
  <si>
    <t>SIM
00100.037681/2025-08</t>
  </si>
  <si>
    <r>
      <t xml:space="preserve">Dia Mundial do Sono
</t>
    </r>
    <r>
      <rPr>
        <b/>
        <sz val="10"/>
        <color theme="1"/>
        <rFont val="Aptos Narrow"/>
        <family val="2"/>
        <scheme val="minor"/>
      </rPr>
      <t>(COR VERMELHA)</t>
    </r>
  </si>
  <si>
    <r>
      <rPr>
        <b/>
        <sz val="10"/>
        <color theme="1"/>
        <rFont val="Aptos Narrow"/>
        <family val="2"/>
        <scheme val="minor"/>
      </rPr>
      <t>Senador Dr. Hiran</t>
    </r>
    <r>
      <rPr>
        <sz val="10"/>
        <color theme="1"/>
        <rFont val="Aptos Narrow"/>
        <family val="2"/>
        <scheme val="minor"/>
      </rPr>
      <t xml:space="preserve">
Contato: 3303-6251</t>
    </r>
  </si>
  <si>
    <t>00200.002241/2025-01</t>
  </si>
  <si>
    <t>SIM
00100.019717/2025-63</t>
  </si>
  <si>
    <r>
      <t xml:space="preserve">Campanha Março Azul 2025:
Prevenção do Câncer de Intestino
</t>
    </r>
    <r>
      <rPr>
        <b/>
        <sz val="10"/>
        <color theme="1"/>
        <rFont val="Aptos Narrow"/>
        <family val="2"/>
        <scheme val="minor"/>
      </rPr>
      <t>(COR AZUL)</t>
    </r>
  </si>
  <si>
    <t>18/03/2025
a
19/03/2025</t>
  </si>
  <si>
    <t>PELÍCULAS ENTREGUES
em 18/03/2025</t>
  </si>
  <si>
    <t>Secretaria de Relações Públicas
Acionamento do CT 236/2024
1ª/10</t>
  </si>
  <si>
    <t>00200.004169/2025-49</t>
  </si>
  <si>
    <t>SIM
00100.038411/2025-14</t>
  </si>
  <si>
    <t>PROJEÇÃO
40 Anos da Redemocratização</t>
  </si>
  <si>
    <t>17/03/2025 
(Teste)
e
18/03/2025
(Projeção)
(19h às 23h)</t>
  </si>
  <si>
    <t>NOTA FISCAL n° 331
00100.058821/2025-73</t>
  </si>
  <si>
    <t>EMITIDA em 19/03/2025
PAGA em 11/04/2025</t>
  </si>
  <si>
    <r>
      <t xml:space="preserve">Dia Internacional da Síndrome de Down
</t>
    </r>
    <r>
      <rPr>
        <b/>
        <sz val="10"/>
        <color theme="1"/>
        <rFont val="Aptos Narrow"/>
        <family val="2"/>
        <scheme val="minor"/>
      </rPr>
      <t>(COR AZUL na Cúpula e
COR AMARELA no Anexo I)</t>
    </r>
  </si>
  <si>
    <t>21/03/2025
a
22/03/2025</t>
  </si>
  <si>
    <r>
      <rPr>
        <b/>
        <sz val="10"/>
        <color theme="1"/>
        <rFont val="Aptos Narrow"/>
        <family val="2"/>
        <scheme val="minor"/>
      </rPr>
      <t>Senadora Mara Gabrilli</t>
    </r>
    <r>
      <rPr>
        <sz val="10"/>
        <color theme="1"/>
        <rFont val="Aptos Narrow"/>
        <family val="2"/>
        <scheme val="minor"/>
      </rPr>
      <t xml:space="preserve">
Contato: 3303-2191</t>
    </r>
  </si>
  <si>
    <t>00200.004590/2025-50</t>
  </si>
  <si>
    <t>SIM
00100.041067/2025-32</t>
  </si>
  <si>
    <r>
      <rPr>
        <b/>
        <sz val="10"/>
        <color theme="1"/>
        <rFont val="Aptos Narrow"/>
        <family val="2"/>
        <scheme val="minor"/>
      </rPr>
      <t>Senador Alessandro Vieira</t>
    </r>
    <r>
      <rPr>
        <sz val="10"/>
        <color theme="1"/>
        <rFont val="Aptos Narrow"/>
        <family val="2"/>
        <scheme val="minor"/>
      </rPr>
      <t xml:space="preserve">
Contato: 3303-9011/ 9014</t>
    </r>
  </si>
  <si>
    <t>00200.004843/2025-95</t>
  </si>
  <si>
    <t>SIM
00100.044338/2025-10</t>
  </si>
  <si>
    <t>LUZES APAGADAS</t>
  </si>
  <si>
    <r>
      <rPr>
        <b/>
        <sz val="10"/>
        <rFont val="Aptos Narrow"/>
        <family val="2"/>
        <scheme val="minor"/>
      </rPr>
      <t>Núcleo de Coordenação de Ações  Socioambientais- NCAS</t>
    </r>
    <r>
      <rPr>
        <sz val="10"/>
        <rFont val="Aptos Narrow"/>
        <family val="2"/>
        <scheme val="minor"/>
      </rPr>
      <t xml:space="preserve">
Contato: 3303-6005 
Coordenador Humberto Formiga</t>
    </r>
  </si>
  <si>
    <t>00200.004960/2025-59</t>
  </si>
  <si>
    <t>SIM
00100.046336/2025-57</t>
  </si>
  <si>
    <r>
      <t xml:space="preserve">"Hora do Planeta":
um dos maiores eventos globais em defesa do meio ambiente e combate às mudanças climáticas
</t>
    </r>
    <r>
      <rPr>
        <b/>
        <sz val="10"/>
        <rFont val="Aptos Narrow"/>
        <family val="2"/>
        <scheme val="minor"/>
      </rPr>
      <t>LUZES APAGADAS</t>
    </r>
  </si>
  <si>
    <t xml:space="preserve">
22/03/2025
(20h30 às 21h30)</t>
  </si>
  <si>
    <r>
      <rPr>
        <b/>
        <sz val="10"/>
        <color theme="1"/>
        <rFont val="Aptos Narrow"/>
        <family val="2"/>
        <scheme val="minor"/>
      </rPr>
      <t>Deputado Federal Pastor Diniz</t>
    </r>
    <r>
      <rPr>
        <sz val="10"/>
        <color theme="1"/>
        <rFont val="Aptos Narrow"/>
        <family val="2"/>
        <scheme val="minor"/>
      </rPr>
      <t xml:space="preserve">
Contato: 3215-5423/ 3423</t>
    </r>
  </si>
  <si>
    <t>00200.004678/2025-71</t>
  </si>
  <si>
    <t>SIM
00100.042399/2025-34</t>
  </si>
  <si>
    <r>
      <t xml:space="preserve">Dia Mundial da Optometria
</t>
    </r>
    <r>
      <rPr>
        <b/>
        <sz val="10"/>
        <color theme="1"/>
        <rFont val="Aptos Narrow"/>
        <family val="2"/>
        <scheme val="minor"/>
      </rPr>
      <t>(COR VERDE)</t>
    </r>
  </si>
  <si>
    <t>23/03/2025
a
24/03/2025</t>
  </si>
  <si>
    <t>Ministro de Estado da Saúde
Alexandre Padilha</t>
  </si>
  <si>
    <t>00200.004647/2025-11</t>
  </si>
  <si>
    <t>SIM
00100.041818/2025-11</t>
  </si>
  <si>
    <r>
      <t xml:space="preserve">Conscientização sobre o Câncer de Colo de Útero
</t>
    </r>
    <r>
      <rPr>
        <b/>
        <sz val="10"/>
        <color theme="1"/>
        <rFont val="Aptos Narrow"/>
        <family val="2"/>
        <scheme val="minor"/>
      </rPr>
      <t>(COR LILÁS/ROXA)</t>
    </r>
  </si>
  <si>
    <t>25/03/2025
a
26/03/2025</t>
  </si>
  <si>
    <t>PELÍCULAS ENTREGUES
em 25/03/2025</t>
  </si>
  <si>
    <r>
      <t xml:space="preserve">Dia da Neuromielite Óptica - NMO
</t>
    </r>
    <r>
      <rPr>
        <b/>
        <sz val="10"/>
        <color theme="1"/>
        <rFont val="Aptos Narrow"/>
        <family val="2"/>
        <scheme val="minor"/>
      </rPr>
      <t>(COR VERDE)</t>
    </r>
  </si>
  <si>
    <t>27/03/2025
a
28/03/2025</t>
  </si>
  <si>
    <t>Secretaria de Relações Públicas
Acionamento do CT 236/2024
2ª/10</t>
  </si>
  <si>
    <t>SIM
00100.052493/2025-00</t>
  </si>
  <si>
    <t>PROJEÇÃO
Mês da Mulher</t>
  </si>
  <si>
    <t>27/03/2025 
(19h às 23h)</t>
  </si>
  <si>
    <t>NOTA FISCAL n° 333
00100.056216/2025-68</t>
  </si>
  <si>
    <t>EMITIDA em 28/03/2025
PAGA em 03/04/2025</t>
  </si>
  <si>
    <r>
      <t xml:space="preserve">Dia Mundial da Conscientização sobre o Autismo 
</t>
    </r>
    <r>
      <rPr>
        <b/>
        <sz val="10"/>
        <color theme="1"/>
        <rFont val="Aptos Narrow"/>
        <family val="2"/>
        <scheme val="minor"/>
      </rPr>
      <t>(COR AZUL)</t>
    </r>
  </si>
  <si>
    <t>02/04/2025
a
03/04/2025</t>
  </si>
  <si>
    <t>PELÍCULAS ENTREGUES
em 02/04/2025</t>
  </si>
  <si>
    <r>
      <t xml:space="preserve">Semana da Porfiria
</t>
    </r>
    <r>
      <rPr>
        <b/>
        <sz val="10"/>
        <color theme="1"/>
        <rFont val="Aptos Narrow"/>
        <family val="2"/>
        <scheme val="minor"/>
      </rPr>
      <t>(COR ROXA)</t>
    </r>
  </si>
  <si>
    <t>04/04/2025
a
06/04/2025</t>
  </si>
  <si>
    <r>
      <t xml:space="preserve">Dia Mundial da Atividade Física / Dia Mundial da Saúde
</t>
    </r>
    <r>
      <rPr>
        <b/>
        <sz val="10"/>
        <color theme="1"/>
        <rFont val="Aptos Narrow"/>
        <family val="2"/>
        <scheme val="minor"/>
      </rPr>
      <t>(COR VERDE)</t>
    </r>
  </si>
  <si>
    <t>PROJEÇÃO
Campanha Nacional de Vacinação contra a Gripe</t>
  </si>
  <si>
    <t>07/04/2025 
(18h às 0h)</t>
  </si>
  <si>
    <t>CANCELADA</t>
  </si>
  <si>
    <t>00200.002164/2025-81</t>
  </si>
  <si>
    <t>SIM
00100.019127/2025-31</t>
  </si>
  <si>
    <r>
      <t xml:space="preserve">Dia Mundial da Síndrome de Cushing
</t>
    </r>
    <r>
      <rPr>
        <b/>
        <sz val="10"/>
        <color theme="1"/>
        <rFont val="Aptos Narrow"/>
        <family val="2"/>
        <scheme val="minor"/>
      </rPr>
      <t xml:space="preserve">
(COR AMARELA)</t>
    </r>
  </si>
  <si>
    <t>PELÍCULAS ENTREGUES
em 08/04/2025</t>
  </si>
  <si>
    <r>
      <rPr>
        <b/>
        <sz val="10"/>
        <color theme="1"/>
        <rFont val="Aptos Narrow"/>
        <family val="2"/>
        <scheme val="minor"/>
      </rPr>
      <t>Deputada Federal Simone Marquetto</t>
    </r>
    <r>
      <rPr>
        <sz val="10"/>
        <color theme="1"/>
        <rFont val="Aptos Narrow"/>
        <family val="2"/>
        <scheme val="minor"/>
      </rPr>
      <t xml:space="preserve">
Contato: 3215-5834
</t>
    </r>
    <r>
      <rPr>
        <b/>
        <sz val="10"/>
        <color theme="1"/>
        <rFont val="Aptos Narrow"/>
        <family val="2"/>
        <scheme val="minor"/>
      </rPr>
      <t>Deputado Fred Costa</t>
    </r>
  </si>
  <si>
    <t>00200.003769/2025-90</t>
  </si>
  <si>
    <t>SIM
00100.060813/2025-97</t>
  </si>
  <si>
    <r>
      <t xml:space="preserve">Abril Laranja, mês dedicado à conscientização e prevenção da crueldade contra os animais
</t>
    </r>
    <r>
      <rPr>
        <b/>
        <sz val="10"/>
        <color theme="1"/>
        <rFont val="Aptos Narrow"/>
        <family val="2"/>
        <scheme val="minor"/>
      </rPr>
      <t>(COR LARANJA)</t>
    </r>
  </si>
  <si>
    <t>09/04/2025
a
11/04/2025</t>
  </si>
  <si>
    <t>PELÍCULAS ENTREGUES
em 09/04/2025</t>
  </si>
  <si>
    <r>
      <rPr>
        <b/>
        <sz val="10"/>
        <color theme="1"/>
        <rFont val="Aptos Narrow"/>
        <family val="2"/>
        <scheme val="minor"/>
      </rPr>
      <t>Governo do Distrito Federal</t>
    </r>
    <r>
      <rPr>
        <sz val="10"/>
        <color theme="1"/>
        <rFont val="Aptos Narrow"/>
        <family val="2"/>
        <scheme val="minor"/>
      </rPr>
      <t xml:space="preserve">
Contato:  Gustavo do Vale Rocha- Secretário de Estado-Chefe da Casa Civil do Distrito Federal</t>
    </r>
  </si>
  <si>
    <t>Ofício de Autorização do Presidente do Senado</t>
  </si>
  <si>
    <r>
      <rPr>
        <sz val="10"/>
        <rFont val="Aptos Narrow"/>
        <family val="2"/>
        <scheme val="minor"/>
      </rPr>
      <t>Anúncio das Cidades-Cede da Copa do Mundo Feminina da FIFA 2027</t>
    </r>
    <r>
      <rPr>
        <b/>
        <sz val="10"/>
        <color theme="1"/>
        <rFont val="Aptos Narrow"/>
        <family val="2"/>
        <scheme val="minor"/>
      </rPr>
      <t xml:space="preserve">
COR AMARELA no Senado
COR VERDE na Câmara</t>
    </r>
  </si>
  <si>
    <r>
      <rPr>
        <b/>
        <sz val="16"/>
        <color theme="1"/>
        <rFont val="Aptos Narrow"/>
        <family val="2"/>
        <scheme val="minor"/>
      </rPr>
      <t>ADIADA</t>
    </r>
    <r>
      <rPr>
        <b/>
        <sz val="10"/>
        <color theme="1"/>
        <rFont val="Aptos Narrow"/>
        <family val="2"/>
        <scheme val="minor"/>
      </rPr>
      <t xml:space="preserve">
</t>
    </r>
    <r>
      <rPr>
        <b/>
        <sz val="10"/>
        <color rgb="FFFF0000"/>
        <rFont val="Aptos Narrow"/>
        <family val="2"/>
        <scheme val="minor"/>
      </rPr>
      <t xml:space="preserve">FIFA ADIOU A DIVULGAÇÃO
INFORMAÇÕES DO PRÓPRIO GDF
</t>
    </r>
    <r>
      <rPr>
        <b/>
        <sz val="10"/>
        <color theme="1"/>
        <rFont val="Aptos Narrow"/>
        <family val="2"/>
        <scheme val="minor"/>
      </rPr>
      <t xml:space="preserve">
PELÍCULAS ENTREGUES em 09/04/2025
Películas devolvidas no mesmo dia</t>
    </r>
  </si>
  <si>
    <t>00200.004671/2025-90</t>
  </si>
  <si>
    <t>SIM
00100.042276/2025-01</t>
  </si>
  <si>
    <r>
      <t xml:space="preserve">Dia Mundial de Conscientização da Doença de Parkinson
</t>
    </r>
    <r>
      <rPr>
        <b/>
        <sz val="10"/>
        <color theme="1"/>
        <rFont val="Aptos Narrow"/>
        <family val="2"/>
        <scheme val="minor"/>
      </rPr>
      <t>(COR VERDE)</t>
    </r>
  </si>
  <si>
    <t>12/04/2025
a
13/04/2025</t>
  </si>
  <si>
    <t>PELÍCULAS ENTREGUES
em 11/04/2025</t>
  </si>
  <si>
    <t>00200.004937/2025-64</t>
  </si>
  <si>
    <t>SIM
00100.045807/2025-18</t>
  </si>
  <si>
    <r>
      <t xml:space="preserve">Dia Mundial da Homeopatia
</t>
    </r>
    <r>
      <rPr>
        <b/>
        <sz val="10"/>
        <color theme="1"/>
        <rFont val="Aptos Narrow"/>
        <family val="2"/>
        <scheme val="minor"/>
      </rPr>
      <t>(COR VERDE)</t>
    </r>
  </si>
  <si>
    <r>
      <rPr>
        <b/>
        <sz val="10"/>
        <color theme="1"/>
        <rFont val="Aptos Narrow"/>
        <family val="2"/>
        <scheme val="minor"/>
      </rPr>
      <t>Associação Brasileira de Pessoas com Hemofilia- ABRAPHEM</t>
    </r>
    <r>
      <rPr>
        <sz val="10"/>
        <color theme="1"/>
        <rFont val="Aptos Narrow"/>
        <family val="2"/>
        <scheme val="minor"/>
      </rPr>
      <t xml:space="preserve">
Contato: (11) 98801-0231
Mariana Leme- Presidente </t>
    </r>
  </si>
  <si>
    <t>00200.001313/2025-95</t>
  </si>
  <si>
    <t>SIM
00100.063436/2025-48</t>
  </si>
  <si>
    <r>
      <t xml:space="preserve">Dia Mundial da Hemofilia
</t>
    </r>
    <r>
      <rPr>
        <b/>
        <sz val="10"/>
        <color theme="1"/>
        <rFont val="Aptos Narrow"/>
        <family val="2"/>
        <scheme val="minor"/>
      </rPr>
      <t>(COR VERMELHA)</t>
    </r>
  </si>
  <si>
    <t>16/04/2025
a
17/04/2025</t>
  </si>
  <si>
    <t>PELÍCULAS ENTREGUES
em 15/04/2025</t>
  </si>
  <si>
    <r>
      <t xml:space="preserve">Deputado Federal Daniel Agrobom
</t>
    </r>
    <r>
      <rPr>
        <sz val="10"/>
        <color theme="1"/>
        <rFont val="Aptos Narrow"/>
        <family val="2"/>
        <scheme val="minor"/>
      </rPr>
      <t>Contato: 3215-5572</t>
    </r>
  </si>
  <si>
    <t>00200.003245/2025-07</t>
  </si>
  <si>
    <t>SIM
00100.028112/2025-07</t>
  </si>
  <si>
    <r>
      <t xml:space="preserve">ABRIL MARROM
Mês designado para conscientizar a população sobre a prevenção, combate e reabilitação às diversas doenças que podem causar a perda irreversível da visão
</t>
    </r>
    <r>
      <rPr>
        <b/>
        <sz val="10"/>
        <color theme="1"/>
        <rFont val="Aptos Narrow"/>
        <family val="2"/>
        <scheme val="minor"/>
      </rPr>
      <t>(COR MARROM)</t>
    </r>
  </si>
  <si>
    <t>Confederação Israelita do Brasil- CONIB
Contato: Claudio L. Lottenberg Parnes- Presidente da CONIB</t>
  </si>
  <si>
    <t>00200.003189/2025-01</t>
  </si>
  <si>
    <t>SIM
00100.027597/2025-78</t>
  </si>
  <si>
    <t>PROJEÇÃO
"lom HaShoá VehaGvurá" (Dia do Holocausto e do Heroísmo)</t>
  </si>
  <si>
    <t>23/04/2025
(18h às 23h59)</t>
  </si>
  <si>
    <t>00200.003199/2025-38</t>
  </si>
  <si>
    <t>Secretaria de Relações Públicas
Acionamento do CT 236/2024
3ª/10</t>
  </si>
  <si>
    <t>00200.006763/2025-74</t>
  </si>
  <si>
    <t>SIM
00100.071922/2025-30</t>
  </si>
  <si>
    <t>PROJEÇÃO
Aniversário de Brasília</t>
  </si>
  <si>
    <t>28/04/2025 
(19h às 23h)</t>
  </si>
  <si>
    <t>NOTA FISCAL n° 345
00100.076244/2025-00</t>
  </si>
  <si>
    <t>EMITIDA em 29/04/2025
PAGA em 05/05/2025</t>
  </si>
  <si>
    <r>
      <rPr>
        <b/>
        <sz val="10"/>
        <color theme="1"/>
        <rFont val="Aptos Narrow"/>
        <family val="2"/>
        <scheme val="minor"/>
      </rPr>
      <t>Ministério Público do Trabalho/
Procuradoria-Geral do Trabalho</t>
    </r>
    <r>
      <rPr>
        <sz val="10"/>
        <color theme="1"/>
        <rFont val="Aptos Narrow"/>
        <family val="2"/>
        <scheme val="minor"/>
      </rPr>
      <t xml:space="preserve">
Contato: 3314-8500
Procuradora do Trabalho: Cirlene Luiza Zimmermann</t>
    </r>
  </si>
  <si>
    <t>00200.004768/2025-62</t>
  </si>
  <si>
    <t>SIM
00100.043209/2025-04</t>
  </si>
  <si>
    <r>
      <t xml:space="preserve">Dia Nacional e Internacional em Memória às Vítimas de Acidentes e Doenças do Trabalho
</t>
    </r>
    <r>
      <rPr>
        <b/>
        <sz val="10"/>
        <color theme="1"/>
        <rFont val="Aptos Narrow"/>
        <family val="2"/>
        <scheme val="minor"/>
      </rPr>
      <t>(COR VERDE)</t>
    </r>
  </si>
  <si>
    <t>28/04/2025
a
29/04/2025</t>
  </si>
  <si>
    <t>PELÍCULAS ENTREGUES
em 28/04/2025</t>
  </si>
  <si>
    <r>
      <rPr>
        <b/>
        <sz val="10"/>
        <color theme="1"/>
        <rFont val="Aptos Narrow"/>
        <family val="2"/>
        <scheme val="minor"/>
      </rPr>
      <t>Senador Paulo Paim</t>
    </r>
    <r>
      <rPr>
        <sz val="10"/>
        <color theme="1"/>
        <rFont val="Aptos Narrow"/>
        <family val="2"/>
        <scheme val="minor"/>
      </rPr>
      <t xml:space="preserve">
Contato: 3303-5232</t>
    </r>
  </si>
  <si>
    <t>00200.004975/2025-17</t>
  </si>
  <si>
    <t>SIM
00200.046220/2025-18</t>
  </si>
  <si>
    <r>
      <t xml:space="preserve">Dia Mundial em Memória das Vítimas de Acidentes e Doenças do Trabalho
</t>
    </r>
    <r>
      <rPr>
        <b/>
        <sz val="10"/>
        <color theme="1"/>
        <rFont val="Aptos Narrow"/>
        <family val="2"/>
        <scheme val="minor"/>
      </rPr>
      <t>(COR VERDE)</t>
    </r>
  </si>
  <si>
    <r>
      <t xml:space="preserve">Maio Amarelo - Segurança no Trânsito
</t>
    </r>
    <r>
      <rPr>
        <b/>
        <sz val="10"/>
        <color theme="1"/>
        <rFont val="Aptos Narrow"/>
        <family val="2"/>
        <scheme val="minor"/>
      </rPr>
      <t>(COR AMARELA)</t>
    </r>
  </si>
  <si>
    <t>02/05/2025
a
05/05/2025</t>
  </si>
  <si>
    <r>
      <t xml:space="preserve">Dia de Conscientização sobre a Síndrome de Edwards
</t>
    </r>
    <r>
      <rPr>
        <b/>
        <sz val="10"/>
        <color theme="1"/>
        <rFont val="Aptos Narrow"/>
        <family val="2"/>
        <scheme val="minor"/>
      </rPr>
      <t>(COR LILÁS)</t>
    </r>
  </si>
  <si>
    <t>PELÍCULAS ENTREGUES
em 06/05/2025</t>
  </si>
  <si>
    <t>00200.008159/2025-82</t>
  </si>
  <si>
    <t>SIM
00100.078563/2025-41</t>
  </si>
  <si>
    <t>PELÍCULAS ENTREGUES
em 07/05/2025</t>
  </si>
  <si>
    <r>
      <t xml:space="preserve">Dia Nacional de Conscientização da Distonia
</t>
    </r>
    <r>
      <rPr>
        <b/>
        <sz val="10"/>
        <color theme="1"/>
        <rFont val="Aptos Narrow"/>
        <family val="2"/>
        <scheme val="minor"/>
      </rPr>
      <t xml:space="preserve">
(COR AZUL)</t>
    </r>
  </si>
  <si>
    <t>00200.007347/2025-93</t>
  </si>
  <si>
    <t>SIM
00100.070673/2025-65</t>
  </si>
  <si>
    <r>
      <t xml:space="preserve">Dia Mundial da Hipertensão Pulmonar
</t>
    </r>
    <r>
      <rPr>
        <b/>
        <sz val="10"/>
        <color theme="1"/>
        <rFont val="Aptos Narrow"/>
        <family val="2"/>
        <scheme val="minor"/>
      </rPr>
      <t xml:space="preserve">(COR AZUL) </t>
    </r>
  </si>
  <si>
    <r>
      <rPr>
        <b/>
        <sz val="10"/>
        <color theme="1"/>
        <rFont val="Aptos Narrow"/>
        <family val="2"/>
        <scheme val="minor"/>
      </rPr>
      <t>Senadora Damares Alves</t>
    </r>
    <r>
      <rPr>
        <sz val="10"/>
        <color theme="1"/>
        <rFont val="Aptos Narrow"/>
        <family val="2"/>
        <scheme val="minor"/>
      </rPr>
      <t xml:space="preserve">
Contato: 3303-3265</t>
    </r>
  </si>
  <si>
    <t>00200.002029/2025-36</t>
  </si>
  <si>
    <t>SIM
00100.018019/2025-41</t>
  </si>
  <si>
    <r>
      <t xml:space="preserve">Dia das Mães
</t>
    </r>
    <r>
      <rPr>
        <b/>
        <sz val="10"/>
        <color theme="1"/>
        <rFont val="Aptos Narrow"/>
        <family val="2"/>
        <scheme val="minor"/>
      </rPr>
      <t>(COR ROSA)</t>
    </r>
  </si>
  <si>
    <t>10/05/2025
a
11/05/2025</t>
  </si>
  <si>
    <r>
      <rPr>
        <b/>
        <sz val="10"/>
        <color theme="1"/>
        <rFont val="Aptos Narrow"/>
        <family val="2"/>
        <scheme val="minor"/>
      </rPr>
      <t>Deputado Federal Bruno Farias</t>
    </r>
    <r>
      <rPr>
        <sz val="10"/>
        <color theme="1"/>
        <rFont val="Aptos Narrow"/>
        <family val="2"/>
        <scheme val="minor"/>
      </rPr>
      <t xml:space="preserve">
Contato: 3215-5637</t>
    </r>
  </si>
  <si>
    <t>00200.007737/2025-63</t>
  </si>
  <si>
    <t>SIM
00100.074668/2025-21</t>
  </si>
  <si>
    <r>
      <t xml:space="preserve">Mês da Enfermagem
</t>
    </r>
    <r>
      <rPr>
        <b/>
        <sz val="10"/>
        <color theme="1"/>
        <rFont val="Aptos Narrow"/>
        <family val="2"/>
        <scheme val="minor"/>
      </rPr>
      <t>(COR VERDE)</t>
    </r>
  </si>
  <si>
    <t>12/05/2025
a
14/05/2025</t>
  </si>
  <si>
    <t>PELÍCULAS ENTREGUES
em 12/05/2025</t>
  </si>
  <si>
    <r>
      <rPr>
        <b/>
        <sz val="10"/>
        <color theme="1"/>
        <rFont val="Aptos Narrow"/>
        <family val="2"/>
        <scheme val="minor"/>
      </rPr>
      <t>Deputada Federal Erika Kokay</t>
    </r>
    <r>
      <rPr>
        <sz val="10"/>
        <color theme="1"/>
        <rFont val="Aptos Narrow"/>
        <family val="2"/>
        <scheme val="minor"/>
      </rPr>
      <t xml:space="preserve">
Contato: 3215-5203</t>
    </r>
  </si>
  <si>
    <t>00200.007761/2025-01</t>
  </si>
  <si>
    <t>SIM
00100.074871/2025-06</t>
  </si>
  <si>
    <r>
      <t xml:space="preserve">Dia Internacional de Conscientização sobre a Fibromialgia e a Encefalomielite Miálgica/ Síndrome da Fadiga Crônica- EM/SFC
</t>
    </r>
    <r>
      <rPr>
        <b/>
        <sz val="10"/>
        <color theme="1"/>
        <rFont val="Aptos Narrow"/>
        <family val="2"/>
        <scheme val="minor"/>
      </rPr>
      <t>(COR ROXA)</t>
    </r>
  </si>
  <si>
    <t>15/05/2025
a
16/05/2025</t>
  </si>
  <si>
    <r>
      <rPr>
        <b/>
        <sz val="10"/>
        <color theme="0"/>
        <rFont val="Aptos Narrow"/>
        <family val="2"/>
        <scheme val="minor"/>
      </rPr>
      <t>Deputada Tabata Amaral</t>
    </r>
    <r>
      <rPr>
        <sz val="10"/>
        <color theme="0"/>
        <rFont val="Aptos Narrow"/>
        <family val="2"/>
        <scheme val="minor"/>
      </rPr>
      <t xml:space="preserve">
Contato: Adm.tabataamaral@gmail.com</t>
    </r>
  </si>
  <si>
    <t>00200.008976/2025-31</t>
  </si>
  <si>
    <t xml:space="preserve">SIM
00100.087731/2025-90 (VIA 001)
</t>
  </si>
  <si>
    <t>PROJEÇÃO
Dia 
Nacional de Combate ao Abuso e à Exploração Sexual de Crianças e Adolescentes,</t>
  </si>
  <si>
    <t>17/05/2025
(testes)
a
18/05/2025
(projeção)
17h às 22h</t>
  </si>
  <si>
    <r>
      <t xml:space="preserve">Dia Nacional de Combate ao Abuso e à Exploração Sexual de Crianças e Adolescentes
</t>
    </r>
    <r>
      <rPr>
        <b/>
        <sz val="10"/>
        <color theme="1"/>
        <rFont val="Aptos Narrow"/>
        <family val="2"/>
        <scheme val="minor"/>
      </rPr>
      <t>(COR LARANJA)</t>
    </r>
  </si>
  <si>
    <t>17/05/2025
a
18/05/2025</t>
  </si>
  <si>
    <t>00200.003585/2025-20</t>
  </si>
  <si>
    <t>SIM
00100.031661/2025-15</t>
  </si>
  <si>
    <r>
      <t xml:space="preserve">Dia Nacional de Enfrentamento ao Abuso e Exploração Sexual Infantil
</t>
    </r>
    <r>
      <rPr>
        <b/>
        <sz val="10"/>
        <color theme="1"/>
        <rFont val="Aptos Narrow"/>
        <family val="2"/>
        <scheme val="minor"/>
      </rPr>
      <t>(COR LARANJA)</t>
    </r>
  </si>
  <si>
    <t>00200.008380/2025-31</t>
  </si>
  <si>
    <t>SIM
00100.080786/2025-79</t>
  </si>
  <si>
    <r>
      <t xml:space="preserve">Dia de Conscientização sobre as Síndromes de Ehlers-Danlos e Transtornos do Espectro de Hipermobilidade
</t>
    </r>
    <r>
      <rPr>
        <b/>
        <sz val="10"/>
        <color theme="1"/>
        <rFont val="Aptos Narrow"/>
        <family val="2"/>
        <scheme val="minor"/>
      </rPr>
      <t>(COR LARANJA)</t>
    </r>
  </si>
  <si>
    <r>
      <rPr>
        <b/>
        <sz val="10"/>
        <color theme="1"/>
        <rFont val="Aptos Narrow"/>
        <family val="2"/>
        <scheme val="minor"/>
      </rPr>
      <t>Deputada Tabata Amaral</t>
    </r>
    <r>
      <rPr>
        <sz val="10"/>
        <color theme="1"/>
        <rFont val="Aptos Narrow"/>
        <family val="2"/>
        <scheme val="minor"/>
      </rPr>
      <t xml:space="preserve">
Contato: Adm.tabataamaral@gmail.com</t>
    </r>
  </si>
  <si>
    <r>
      <t xml:space="preserve">DIA NACIONAL DE ENFRENTAMENTO AO ABUSO E À EXPLORAÇÃO SEXUAL DE CRIANÇAS E 
ADOLESCENTES
</t>
    </r>
    <r>
      <rPr>
        <b/>
        <sz val="10"/>
        <color theme="1"/>
        <rFont val="Aptos Narrow"/>
        <family val="2"/>
        <scheme val="minor"/>
      </rPr>
      <t>(COR LARANJA)</t>
    </r>
  </si>
  <si>
    <r>
      <rPr>
        <b/>
        <sz val="10"/>
        <color theme="1"/>
        <rFont val="Aptos Narrow"/>
        <family val="2"/>
        <scheme val="minor"/>
      </rPr>
      <t>Senador Jorge Kajuru</t>
    </r>
    <r>
      <rPr>
        <sz val="10"/>
        <color theme="1"/>
        <rFont val="Aptos Narrow"/>
        <family val="2"/>
        <scheme val="minor"/>
      </rPr>
      <t xml:space="preserve">
Contato: 3303-2844</t>
    </r>
  </si>
  <si>
    <t>00200.003642/2025-71</t>
  </si>
  <si>
    <t>SIM
00100.031727/2025-77</t>
  </si>
  <si>
    <r>
      <rPr>
        <sz val="10"/>
        <color rgb="FF000000"/>
        <rFont val="Aptos Narrow"/>
        <family val="2"/>
        <scheme val="minor"/>
      </rPr>
      <t xml:space="preserve">Dia Nacional da Defensoria Pública
</t>
    </r>
    <r>
      <rPr>
        <b/>
        <sz val="10"/>
        <color rgb="FF000000"/>
        <rFont val="Aptos Narrow"/>
        <family val="2"/>
        <scheme val="minor"/>
      </rPr>
      <t xml:space="preserve">
(COR VERDE)</t>
    </r>
  </si>
  <si>
    <t>19/05/2025
a
20/05/2025</t>
  </si>
  <si>
    <r>
      <rPr>
        <b/>
        <sz val="10"/>
        <color theme="1"/>
        <rFont val="Aptos Narrow"/>
        <family val="2"/>
        <scheme val="minor"/>
      </rPr>
      <t>Deputado Federal Diego Garcia</t>
    </r>
    <r>
      <rPr>
        <sz val="10"/>
        <color theme="1"/>
        <rFont val="Aptos Narrow"/>
        <family val="2"/>
        <scheme val="minor"/>
      </rPr>
      <t xml:space="preserve">
Contato: 3215-5910</t>
    </r>
  </si>
  <si>
    <t>00200.005445/2025-96</t>
  </si>
  <si>
    <t>SIM
00100.051465/2025-67</t>
  </si>
  <si>
    <r>
      <t xml:space="preserve">Campanha de Conscientização sobre as Cefaleias
</t>
    </r>
    <r>
      <rPr>
        <b/>
        <sz val="10"/>
        <color theme="1"/>
        <rFont val="Aptos Narrow"/>
        <family val="2"/>
        <scheme val="minor"/>
      </rPr>
      <t>(COR VERMELHA)</t>
    </r>
  </si>
  <si>
    <t>21/05/2025
a
22/05/2025</t>
  </si>
  <si>
    <t>PELÍCULAS ENTREGUES
em 16/05/2025</t>
  </si>
  <si>
    <r>
      <rPr>
        <b/>
        <sz val="9"/>
        <color theme="0"/>
        <rFont val="Aptos Narrow"/>
        <family val="2"/>
        <scheme val="minor"/>
      </rPr>
      <t>Deputada Federal Iza Arruda</t>
    </r>
    <r>
      <rPr>
        <sz val="9"/>
        <color theme="0"/>
        <rFont val="Aptos Narrow"/>
        <family val="2"/>
        <scheme val="minor"/>
      </rPr>
      <t xml:space="preserve">
Contato: 3215-5828</t>
    </r>
  </si>
  <si>
    <t>00200.008803/2025-12</t>
  </si>
  <si>
    <t>SIM
00100.085988/2025-15</t>
  </si>
  <si>
    <t>PROJEÇÃO
Campanha de Conscientização Mundial sobre a Doença Celíaca</t>
  </si>
  <si>
    <t>22/05/2025 
(19h às 21h)</t>
  </si>
  <si>
    <r>
      <rPr>
        <b/>
        <sz val="9"/>
        <color theme="0"/>
        <rFont val="Aptos Narrow"/>
        <family val="2"/>
        <scheme val="minor"/>
      </rPr>
      <t>Deputado Federal Diego Garcia</t>
    </r>
    <r>
      <rPr>
        <sz val="9"/>
        <color theme="0"/>
        <rFont val="Aptos Narrow"/>
        <family val="2"/>
        <scheme val="minor"/>
      </rPr>
      <t xml:space="preserve">
Contato: -</t>
    </r>
  </si>
  <si>
    <t xml:space="preserve">SIM
00100.091163/2025-21
</t>
  </si>
  <si>
    <t>PROJEÇÃO
Campanha de conscientização sobre as cefaleias – Maio bordô</t>
  </si>
  <si>
    <t>23/05/2025 
(19h às 22h)</t>
  </si>
  <si>
    <t>00200.007373/2025-11</t>
  </si>
  <si>
    <t>SIM
00100.070830/2025-32</t>
  </si>
  <si>
    <r>
      <t xml:space="preserve">Campanha 24 Horas pelo Glaucoma
</t>
    </r>
    <r>
      <rPr>
        <b/>
        <sz val="10"/>
        <color theme="1"/>
        <rFont val="Aptos Narrow"/>
        <family val="2"/>
        <scheme val="minor"/>
      </rPr>
      <t>(COR VERDE)</t>
    </r>
  </si>
  <si>
    <t>26/05/2025
a
27/05/2025</t>
  </si>
  <si>
    <r>
      <rPr>
        <b/>
        <sz val="10"/>
        <color theme="1"/>
        <rFont val="Aptos Narrow"/>
        <family val="2"/>
        <scheme val="minor"/>
      </rPr>
      <t>Senadora Ana Paula Lobato</t>
    </r>
    <r>
      <rPr>
        <sz val="10"/>
        <color theme="1"/>
        <rFont val="Aptos Narrow"/>
        <family val="2"/>
        <scheme val="minor"/>
      </rPr>
      <t xml:space="preserve">
Contato: 3303-1874</t>
    </r>
  </si>
  <si>
    <t>00200.008700/2025-52</t>
  </si>
  <si>
    <t>SIM
00100.085025/2025-11</t>
  </si>
  <si>
    <r>
      <t xml:space="preserve">Dia Internacional de Luta pela Saúde da Mulher e ao Dia Nacional de Redução da Mortalidade Materna
</t>
    </r>
    <r>
      <rPr>
        <b/>
        <sz val="10"/>
        <color theme="1"/>
        <rFont val="Aptos Narrow"/>
        <family val="2"/>
        <scheme val="minor"/>
      </rPr>
      <t>(COR ROSA)</t>
    </r>
  </si>
  <si>
    <t>28/05/2025
a
29/05/2025</t>
  </si>
  <si>
    <t>PELÍCULAS ENTREGUES
em 28/05/2025</t>
  </si>
  <si>
    <t>Ministério da Saúde
Contato: (61) 3315-2350/3347</t>
  </si>
  <si>
    <t>00200.009031/2025-36</t>
  </si>
  <si>
    <t>SIM
00100.088421/2025-92</t>
  </si>
  <si>
    <t>PROJEÇÃO
Luta Antimanicomial
(testes e projeção no mesmo dia)</t>
  </si>
  <si>
    <t>29/05/2025 
(18h às 23h30)</t>
  </si>
  <si>
    <r>
      <rPr>
        <b/>
        <sz val="10"/>
        <color rgb="FF000000"/>
        <rFont val="Aptos Narrow"/>
        <family val="2"/>
        <scheme val="minor"/>
      </rPr>
      <t xml:space="preserve">Senador Luis Carlos Heinze
</t>
    </r>
    <r>
      <rPr>
        <sz val="10"/>
        <color rgb="FF000000"/>
        <rFont val="Aptos Narrow"/>
        <family val="2"/>
        <scheme val="minor"/>
      </rPr>
      <t>Contato: 3303-4124
Conselho Regional de Odontologia/RS
Contato: 3026-1700</t>
    </r>
  </si>
  <si>
    <t>00200.002811/2025-55</t>
  </si>
  <si>
    <t>SIM
00100.026706/2025-30</t>
  </si>
  <si>
    <r>
      <t xml:space="preserve">Campanha Maio Vermelho: a fim de sensibilizar a sociedade sobre a importância da prevenção ao câncer de boca
</t>
    </r>
    <r>
      <rPr>
        <b/>
        <sz val="10"/>
        <color rgb="FF000000"/>
        <rFont val="Aptos Narrow"/>
        <family val="2"/>
        <scheme val="minor"/>
      </rPr>
      <t>(COR VERMELHA)</t>
    </r>
  </si>
  <si>
    <t>30/05/2025
a
31/05/2025</t>
  </si>
  <si>
    <r>
      <rPr>
        <b/>
        <sz val="10"/>
        <color rgb="FF000000"/>
        <rFont val="Aptos Narrow"/>
        <family val="2"/>
        <scheme val="minor"/>
      </rPr>
      <t xml:space="preserve">Senador Alessandro Vieira
</t>
    </r>
    <r>
      <rPr>
        <sz val="10"/>
        <color rgb="FF000000"/>
        <rFont val="Aptos Narrow"/>
        <family val="2"/>
        <scheme val="minor"/>
      </rPr>
      <t>Contato: 3303-9011</t>
    </r>
  </si>
  <si>
    <t>00200.008956/2025-60</t>
  </si>
  <si>
    <t xml:space="preserve">SIM 00100.087637/2025-31
</t>
  </si>
  <si>
    <r>
      <t xml:space="preserve">  Dia da Dignidade Menstrual 
</t>
    </r>
    <r>
      <rPr>
        <b/>
        <sz val="10"/>
        <color rgb="FF000000"/>
        <rFont val="Aptos Narrow"/>
        <family val="2"/>
        <scheme val="minor"/>
      </rPr>
      <t xml:space="preserve">
(COR VERMELHA)</t>
    </r>
  </si>
  <si>
    <r>
      <t xml:space="preserve">Senador Dr. Hiran
</t>
    </r>
    <r>
      <rPr>
        <sz val="10"/>
        <color theme="1"/>
        <rFont val="Aptos Narrow"/>
        <family val="2"/>
        <scheme val="minor"/>
      </rPr>
      <t>Contato: 3303-6251</t>
    </r>
  </si>
  <si>
    <t>00200.009678/2025-68</t>
  </si>
  <si>
    <t>SIM
00100.095035/2025-57</t>
  </si>
  <si>
    <r>
      <t xml:space="preserve">Campanha Internacional de Conscientização sobre o mês da Infertilidade
</t>
    </r>
    <r>
      <rPr>
        <b/>
        <sz val="10"/>
        <color theme="1"/>
        <rFont val="Aptos Narrow"/>
        <family val="2"/>
        <scheme val="minor"/>
      </rPr>
      <t xml:space="preserve">
(COR LARANJA)</t>
    </r>
  </si>
  <si>
    <t>02/06/2025
a
03/06/2025</t>
  </si>
  <si>
    <t>PELÍCULAS ENTREGUES
em 02/06/2025</t>
  </si>
  <si>
    <t>Secretaria de Relações Públicas
Acionamento do CT 236/2024
4ª/10</t>
  </si>
  <si>
    <t>00200.009243/2025-13</t>
  </si>
  <si>
    <t>Sim
00100.090589/2025-68</t>
  </si>
  <si>
    <t>PROJEÇÃO
Reunião do BRICS +</t>
  </si>
  <si>
    <t>03/06/2025
(teste)
04/06/2025
(projeção)
(19h às 23h)</t>
  </si>
  <si>
    <t>NOTA FISCAL n° 370
00100.102504/2025-00</t>
  </si>
  <si>
    <t>EMITIDA em 07/06/2025
PAGA em 11/06/2025</t>
  </si>
  <si>
    <r>
      <t xml:space="preserve">Senador Fabiano Contarato
</t>
    </r>
    <r>
      <rPr>
        <sz val="10"/>
        <color theme="1"/>
        <rFont val="Aptos Narrow"/>
        <family val="2"/>
        <scheme val="minor"/>
      </rPr>
      <t>Contato: 3303-9049</t>
    </r>
  </si>
  <si>
    <t>00200.009879/2025-65</t>
  </si>
  <si>
    <t>SIM
00100.097051/2025-84</t>
  </si>
  <si>
    <r>
      <t xml:space="preserve">Dia Mundial do Meio Ambiente- Junho Verde
</t>
    </r>
    <r>
      <rPr>
        <b/>
        <sz val="10"/>
        <color theme="1"/>
        <rFont val="Aptos Narrow"/>
        <family val="2"/>
        <scheme val="minor"/>
      </rPr>
      <t xml:space="preserve">
(COR VERDE)</t>
    </r>
  </si>
  <si>
    <t>04/06/2025
a
06/06/2025</t>
  </si>
  <si>
    <t>Secretaria de Relações Públicas
Acionamento do CT 236/2024
5ª/10</t>
  </si>
  <si>
    <t>PROJEÇÃO
Dia Mundial do Meio Ambiente</t>
  </si>
  <si>
    <t>05/06/2025 
(19h às 23h)</t>
  </si>
  <si>
    <t>NOTA FISCAL n° 371
00100.102516/2025-26</t>
  </si>
  <si>
    <r>
      <t xml:space="preserve">Dia Nacional do Teste do Pezinho
</t>
    </r>
    <r>
      <rPr>
        <b/>
        <sz val="10"/>
        <color theme="1"/>
        <rFont val="Aptos Narrow"/>
        <family val="2"/>
        <scheme val="minor"/>
      </rPr>
      <t>(COR LILÁS/ ROXA)</t>
    </r>
  </si>
  <si>
    <t>07/06/2025
a
08/06/2025</t>
  </si>
  <si>
    <r>
      <rPr>
        <b/>
        <sz val="10"/>
        <color theme="1"/>
        <rFont val="Aptos Narrow"/>
        <family val="2"/>
        <scheme val="minor"/>
      </rPr>
      <t>Senador Espiridião Amin</t>
    </r>
    <r>
      <rPr>
        <sz val="10"/>
        <color theme="1"/>
        <rFont val="Aptos Narrow"/>
        <family val="2"/>
        <scheme val="minor"/>
      </rPr>
      <t xml:space="preserve">
Contato: 3303-6446</t>
    </r>
  </si>
  <si>
    <t>00200.008642/2025-67</t>
  </si>
  <si>
    <t>SIM
00100.084512/2025-59</t>
  </si>
  <si>
    <r>
      <t xml:space="preserve">130 anos das relações diplomáticas e de amizade entre o Brasil e o Japão
</t>
    </r>
    <r>
      <rPr>
        <b/>
        <sz val="10"/>
        <color theme="1"/>
        <rFont val="Aptos Narrow"/>
        <family val="2"/>
        <scheme val="minor"/>
      </rPr>
      <t xml:space="preserve">
(COR VERMELHA)</t>
    </r>
  </si>
  <si>
    <t>10/06/2025
a
11/06/2025</t>
  </si>
  <si>
    <t>PELÍCULAS ENTREGUES
em 10/06/2025</t>
  </si>
  <si>
    <r>
      <rPr>
        <b/>
        <sz val="10"/>
        <color theme="1"/>
        <rFont val="Aptos Narrow"/>
        <family val="2"/>
        <scheme val="minor"/>
      </rPr>
      <t>Senador Alan Rick</t>
    </r>
    <r>
      <rPr>
        <sz val="10"/>
        <color theme="1"/>
        <rFont val="Aptos Narrow"/>
        <family val="2"/>
        <scheme val="minor"/>
      </rPr>
      <t xml:space="preserve">
Contato: 3303-6333</t>
    </r>
  </si>
  <si>
    <t>00200.002247/2025-71</t>
  </si>
  <si>
    <t>SIM
00100.019795/2025-68</t>
  </si>
  <si>
    <r>
      <t xml:space="preserve">Mês Mundial de Conscientização da Linfangioleiomiomatose
</t>
    </r>
    <r>
      <rPr>
        <b/>
        <sz val="10"/>
        <color theme="1"/>
        <rFont val="Aptos Narrow"/>
        <family val="2"/>
        <scheme val="minor"/>
      </rPr>
      <t>(COR ROSA)</t>
    </r>
  </si>
  <si>
    <t>12/06/2025
a
13/06/2025</t>
  </si>
  <si>
    <r>
      <rPr>
        <b/>
        <sz val="9"/>
        <color theme="0"/>
        <rFont val="Aptos Narrow"/>
        <family val="2"/>
        <scheme val="minor"/>
      </rPr>
      <t>Deputada Federal Duda Salabert Rosa</t>
    </r>
    <r>
      <rPr>
        <sz val="9"/>
        <color theme="0"/>
        <rFont val="Aptos Narrow"/>
        <family val="2"/>
        <scheme val="minor"/>
      </rPr>
      <t xml:space="preserve">
Contato: 3215-5840</t>
    </r>
  </si>
  <si>
    <t>00200.007799/2025-75</t>
  </si>
  <si>
    <t>Tramitado para a PRSECR
Aguardando autorização</t>
  </si>
  <si>
    <t>PROJEÇÃO
Campanha Nacional Contra a Exportação de Animais Vivos por Via Marítima" alinhada ao "Dia Mundial Contra o Transporte de Animais Vivos</t>
  </si>
  <si>
    <t>13/06/2025 
(19h às 21h)</t>
  </si>
  <si>
    <t>Liguei para a Raquel agora, 18h20 (12/06) e ela acredita que não haverá autorização da Câmara e, consequentemente, o Senado também não autorizará. (Isaura)</t>
  </si>
  <si>
    <r>
      <t xml:space="preserve">Dia Mundial do Doador de Sangue
</t>
    </r>
    <r>
      <rPr>
        <b/>
        <sz val="10"/>
        <color theme="1"/>
        <rFont val="Aptos Narrow"/>
        <family val="2"/>
        <scheme val="minor"/>
      </rPr>
      <t>(COR VERMELHA)</t>
    </r>
  </si>
  <si>
    <t>14/06/2025
a
15/06/2025</t>
  </si>
  <si>
    <t>PELÍCULAS ENTREGUES
em 13/06/2025</t>
  </si>
  <si>
    <r>
      <t xml:space="preserve">Dia da Amiloide
</t>
    </r>
    <r>
      <rPr>
        <b/>
        <sz val="10"/>
        <color theme="1"/>
        <rFont val="Aptos Narrow"/>
        <family val="2"/>
        <scheme val="minor"/>
      </rPr>
      <t>(COR VERDE na Cúpula e
COR VERMELHA no Anexo I)</t>
    </r>
  </si>
  <si>
    <t>16/06/2025
a
17/06/2025</t>
  </si>
  <si>
    <t>PELÍCULAS ENTREGUES
em 13/06/2026</t>
  </si>
  <si>
    <r>
      <t xml:space="preserve">Dia do Orgulho Autista
</t>
    </r>
    <r>
      <rPr>
        <b/>
        <sz val="10"/>
        <color theme="1"/>
        <rFont val="Aptos Narrow"/>
        <family val="2"/>
        <scheme val="minor"/>
      </rPr>
      <t>(COR AZUL)</t>
    </r>
  </si>
  <si>
    <t>18/06/2025
a
19/06/2025</t>
  </si>
  <si>
    <t>00200.009460/2025-11</t>
  </si>
  <si>
    <t>SIM
00100.093006/2025-51</t>
  </si>
  <si>
    <r>
      <t xml:space="preserve">Dia Mundial do Refugiado
</t>
    </r>
    <r>
      <rPr>
        <b/>
        <sz val="10"/>
        <color theme="1"/>
        <rFont val="Aptos Narrow"/>
        <family val="2"/>
        <scheme val="minor"/>
      </rPr>
      <t>(COR AZUL)</t>
    </r>
  </si>
  <si>
    <t>00200.010582/2025-42</t>
  </si>
  <si>
    <t>SIM 
00100.105542/2025-14</t>
  </si>
  <si>
    <t>20/06/2025
a
21/06/2025</t>
  </si>
  <si>
    <t>PELÍCULAS ENTREGUES
em 18/06/2026</t>
  </si>
  <si>
    <r>
      <t xml:space="preserve">Conscientização da Doença XLH
</t>
    </r>
    <r>
      <rPr>
        <b/>
        <sz val="10"/>
        <color theme="1"/>
        <rFont val="Aptos Narrow"/>
        <family val="2"/>
        <scheme val="minor"/>
      </rPr>
      <t>(COR VERDE)</t>
    </r>
  </si>
  <si>
    <t>PELÍCULAS ENTREGUES
em 18/06/2027</t>
  </si>
  <si>
    <r>
      <rPr>
        <b/>
        <sz val="9"/>
        <color theme="0"/>
        <rFont val="Aptos Narrow"/>
        <family val="2"/>
        <scheme val="minor"/>
      </rPr>
      <t>Deputado Federal Augusto Puppio</t>
    </r>
    <r>
      <rPr>
        <sz val="9"/>
        <color theme="0"/>
        <rFont val="Aptos Narrow"/>
        <family val="2"/>
        <scheme val="minor"/>
      </rPr>
      <t xml:space="preserve">
Contato: 3215-5445</t>
    </r>
  </si>
  <si>
    <t>00200.009839/2025-13</t>
  </si>
  <si>
    <t>SIM
00100.096748/2025-38</t>
  </si>
  <si>
    <t>PROJEÇÃO
Mês de Conscientização sobre 
a Fissura Labiopalatina</t>
  </si>
  <si>
    <t>24/06/2025
(19h às 21h)</t>
  </si>
  <si>
    <t>Secretaria de Relações Públicas/
Deputadas Federais Erika Hilton e Duda Salabert 
Acionamento do CT 236/2024
6ª/10</t>
  </si>
  <si>
    <t>PROJEÇÃO
Dia Nacional do Orgulho LGBTQIA +</t>
  </si>
  <si>
    <t>27/06/2025
(testes)
e
28/06/2025 
(19h às 23h)</t>
  </si>
  <si>
    <t>00200.011494/2025-68</t>
  </si>
  <si>
    <t>SIM
00100.115026/2025-90</t>
  </si>
  <si>
    <r>
      <t xml:space="preserve">Dia Internacional da Fenilcetonúria
</t>
    </r>
    <r>
      <rPr>
        <b/>
        <sz val="10"/>
        <color rgb="FF000000"/>
        <rFont val="Aptos Narrow"/>
        <family val="2"/>
        <scheme val="minor"/>
      </rPr>
      <t>(COR AZUL)</t>
    </r>
  </si>
  <si>
    <t>28/06/2025
a
29/06/2025</t>
  </si>
  <si>
    <t>PELÍCULAS ENTREGUES
em 27/06/2025</t>
  </si>
  <si>
    <t>Deputado Federal Bacelar
Contato: 3215-5783</t>
  </si>
  <si>
    <t>00200.011353/2025-45</t>
  </si>
  <si>
    <t>PROJEÇÃO
2 de Julho - Independência do Brasil na Bahia</t>
  </si>
  <si>
    <t>1°/07/2025
(19h às 23h)</t>
  </si>
  <si>
    <r>
      <rPr>
        <b/>
        <sz val="9"/>
        <color theme="1"/>
        <rFont val="Aptos Narrow"/>
        <family val="2"/>
        <scheme val="minor"/>
      </rPr>
      <t>Senador Dr. Hiran</t>
    </r>
    <r>
      <rPr>
        <sz val="9"/>
        <color theme="1"/>
        <rFont val="Aptos Narrow"/>
        <family val="2"/>
        <scheme val="minor"/>
      </rPr>
      <t xml:space="preserve">
Contato: 3303-6251</t>
    </r>
  </si>
  <si>
    <t>00200.011744/2025-60</t>
  </si>
  <si>
    <t>SIM
00100.117355/2025-75</t>
  </si>
  <si>
    <r>
      <t xml:space="preserve">Movimento Julho Neon - Salve o Sorriso Brasileiro
</t>
    </r>
    <r>
      <rPr>
        <b/>
        <sz val="9"/>
        <color theme="1"/>
        <rFont val="Aptos Narrow"/>
        <family val="2"/>
        <scheme val="minor"/>
      </rPr>
      <t>(COR VERMELHA na Cúpula e
COR VERDE no Anexo I)</t>
    </r>
  </si>
  <si>
    <t>02/07/2025
a
04/07/2025</t>
  </si>
  <si>
    <t>PELÍCULAS ENTREGUES
em 02/07/2025</t>
  </si>
  <si>
    <r>
      <rPr>
        <b/>
        <sz val="9"/>
        <color theme="1"/>
        <rFont val="Aptos Narrow"/>
        <family val="2"/>
        <scheme val="minor"/>
      </rPr>
      <t>Deputado Federal Dr. Zacharias Calil</t>
    </r>
    <r>
      <rPr>
        <sz val="9"/>
        <color theme="1"/>
        <rFont val="Aptos Narrow"/>
        <family val="2"/>
        <scheme val="minor"/>
      </rPr>
      <t xml:space="preserve">
Contato: 3215-2616</t>
    </r>
  </si>
  <si>
    <t>00200.011899/2025-04</t>
  </si>
  <si>
    <t>SIM
00100.118927/2025-33</t>
  </si>
  <si>
    <r>
      <t xml:space="preserve">Dia Mundial das Zoonoses
</t>
    </r>
    <r>
      <rPr>
        <b/>
        <sz val="10"/>
        <color theme="1"/>
        <rFont val="Aptos Narrow"/>
        <family val="2"/>
        <scheme val="minor"/>
      </rPr>
      <t>(COR VERDE)</t>
    </r>
  </si>
  <si>
    <t>07/07/2025
a
08/07/2026</t>
  </si>
  <si>
    <t>PELÍCULAS ENTREGUES
em 07/07/2025</t>
  </si>
  <si>
    <t>Senadora Eliziane Gama
Contato: 3303-6741</t>
  </si>
  <si>
    <t>00200.011988/2025-42</t>
  </si>
  <si>
    <t>SIM
00100.119868/2025-11</t>
  </si>
  <si>
    <t>PROJEÇÃO
 Pré-COP 30 das Quebradeiras de Coco Babaçu e dos Povos e 
Comunidades Tradicionais</t>
  </si>
  <si>
    <t>09/07/2025
(18h30 às 21h)</t>
  </si>
  <si>
    <t>CANCELADO</t>
  </si>
  <si>
    <r>
      <t xml:space="preserve">Cuidados Precoces, Sorrisos para toda Vida
</t>
    </r>
    <r>
      <rPr>
        <b/>
        <sz val="10"/>
        <color theme="1"/>
        <rFont val="Aptos Narrow"/>
        <family val="2"/>
        <scheme val="minor"/>
      </rPr>
      <t>(COR LARANJA)</t>
    </r>
  </si>
  <si>
    <t>14/07/2025
a
17/07/2025</t>
  </si>
  <si>
    <t>PELÍCULAS ENTREGUES
em 14/07/2025</t>
  </si>
  <si>
    <r>
      <rPr>
        <b/>
        <sz val="10"/>
        <color theme="1"/>
        <rFont val="Aptos Narrow"/>
        <family val="2"/>
        <scheme val="minor"/>
      </rPr>
      <t>Senador Alessandro Vieira</t>
    </r>
    <r>
      <rPr>
        <sz val="10"/>
        <color theme="1"/>
        <rFont val="Aptos Narrow"/>
        <family val="2"/>
        <scheme val="minor"/>
      </rPr>
      <t xml:space="preserve">
Contato: 3303-9011/9014/9019</t>
    </r>
  </si>
  <si>
    <t>00200.012610/2025-66</t>
  </si>
  <si>
    <t>SIM
00100.126471/2025-85</t>
  </si>
  <si>
    <r>
      <t xml:space="preserve">Semana de Simulação da Politeia
</t>
    </r>
    <r>
      <rPr>
        <b/>
        <sz val="10"/>
        <color theme="1"/>
        <rFont val="Aptos Narrow"/>
        <family val="2"/>
        <scheme val="minor"/>
      </rPr>
      <t>(COR AZUL)</t>
    </r>
  </si>
  <si>
    <t>22/07/2025
a
23/07/2025</t>
  </si>
  <si>
    <t>PELÍCULAS ENTREGUES
em 18/07/2025</t>
  </si>
  <si>
    <r>
      <rPr>
        <b/>
        <sz val="10"/>
        <color theme="1"/>
        <rFont val="Aptos Narrow"/>
        <family val="2"/>
        <scheme val="minor"/>
      </rPr>
      <t>Deputada Erika Kokay</t>
    </r>
    <r>
      <rPr>
        <sz val="10"/>
        <color theme="1"/>
        <rFont val="Aptos Narrow"/>
        <family val="2"/>
        <scheme val="minor"/>
      </rPr>
      <t xml:space="preserve">
</t>
    </r>
  </si>
  <si>
    <t>00200.012950/2025-97</t>
  </si>
  <si>
    <t>SIM
00100.129608/2025-53</t>
  </si>
  <si>
    <t>Semana de Simulação da Politeia
(COR AZUL)</t>
  </si>
  <si>
    <r>
      <rPr>
        <b/>
        <sz val="10"/>
        <color theme="1"/>
        <rFont val="Aptos Narrow"/>
        <family val="2"/>
        <scheme val="minor"/>
      </rPr>
      <t>Senador Marcelo Castro</t>
    </r>
    <r>
      <rPr>
        <sz val="10"/>
        <color theme="1"/>
        <rFont val="Aptos Narrow"/>
        <family val="2"/>
        <scheme val="minor"/>
      </rPr>
      <t xml:space="preserve">
Contato: 3303-6130 / 4078</t>
    </r>
  </si>
  <si>
    <t>00200.012568/2025-83</t>
  </si>
  <si>
    <t>SIM
00100.125756/2025-07</t>
  </si>
  <si>
    <r>
      <t xml:space="preserve">Dia Internacional do Autocuidado
</t>
    </r>
    <r>
      <rPr>
        <b/>
        <sz val="10"/>
        <color theme="1"/>
        <rFont val="Aptos Narrow"/>
        <family val="2"/>
        <scheme val="minor"/>
      </rPr>
      <t>(COR AZUL)</t>
    </r>
  </si>
  <si>
    <r>
      <t xml:space="preserve">Dia Mundial de Luta Contra as Hepatites Virais
</t>
    </r>
    <r>
      <rPr>
        <b/>
        <sz val="10"/>
        <color theme="1"/>
        <rFont val="Aptos Narrow"/>
        <family val="2"/>
        <scheme val="minor"/>
      </rPr>
      <t>(COR AMARELA)</t>
    </r>
  </si>
  <si>
    <t>28/07/2025
a
29/07/2025</t>
  </si>
  <si>
    <r>
      <rPr>
        <b/>
        <sz val="10"/>
        <color theme="1"/>
        <rFont val="Aptos Narrow"/>
        <family val="2"/>
        <scheme val="minor"/>
      </rPr>
      <t>Deputado Federal Daniel Agrobom</t>
    </r>
    <r>
      <rPr>
        <sz val="10"/>
        <color theme="1"/>
        <rFont val="Aptos Narrow"/>
        <family val="2"/>
        <scheme val="minor"/>
      </rPr>
      <t xml:space="preserve">
Contato: 3215-5572</t>
    </r>
  </si>
  <si>
    <t>00200.009608/2025-18</t>
  </si>
  <si>
    <t>SIM
00100.094434/2025-09</t>
  </si>
  <si>
    <r>
      <t xml:space="preserve">Semana de Conscientização do Transtorno do Déficit de Atenção com Hiperatividade- TDAH
</t>
    </r>
    <r>
      <rPr>
        <b/>
        <sz val="10"/>
        <color theme="1"/>
        <rFont val="Aptos Narrow"/>
        <family val="2"/>
        <scheme val="minor"/>
      </rPr>
      <t>(COR LARANJA)</t>
    </r>
  </si>
  <si>
    <t>31/07/2025
a
01/08/2025</t>
  </si>
  <si>
    <r>
      <t xml:space="preserve">Semana Mundial do Aleitamento Materno
</t>
    </r>
    <r>
      <rPr>
        <b/>
        <sz val="10"/>
        <color theme="1"/>
        <rFont val="Aptos Narrow"/>
        <family val="2"/>
        <scheme val="minor"/>
      </rPr>
      <t>(COR AMARELA)</t>
    </r>
  </si>
  <si>
    <t>02/08/2025
a
05/08/2025</t>
  </si>
  <si>
    <t>04/08/2025
a
06/08/2025
(período original)</t>
  </si>
  <si>
    <r>
      <t xml:space="preserve">PELÍCULAS ENTREGUES
em 18/07/2025
</t>
    </r>
    <r>
      <rPr>
        <b/>
        <sz val="10"/>
        <color rgb="FFFF0000"/>
        <rFont val="Aptos Narrow"/>
        <family val="2"/>
        <scheme val="minor"/>
      </rPr>
      <t/>
    </r>
  </si>
  <si>
    <r>
      <t xml:space="preserve">Agosto Dourado. Mês do Aleitamento
</t>
    </r>
    <r>
      <rPr>
        <b/>
        <sz val="10"/>
        <color theme="1"/>
        <rFont val="Aptos Narrow"/>
        <family val="2"/>
        <scheme val="minor"/>
      </rPr>
      <t>(COR AMARELA)</t>
    </r>
  </si>
  <si>
    <r>
      <t xml:space="preserve">Senadora Ana Paula Lobato
</t>
    </r>
    <r>
      <rPr>
        <sz val="10"/>
        <color theme="1"/>
        <rFont val="Aptos Narrow"/>
        <family val="2"/>
        <scheme val="minor"/>
      </rPr>
      <t>Contato: 3303-1874</t>
    </r>
  </si>
  <si>
    <t>00200.013033/2025-20</t>
  </si>
  <si>
    <t>SIM
00100.131254/2025-15</t>
  </si>
  <si>
    <r>
      <t xml:space="preserve">Dia Mundial da Amamentação
</t>
    </r>
    <r>
      <rPr>
        <b/>
        <sz val="10"/>
        <color theme="1"/>
        <rFont val="Aptos Narrow"/>
        <family val="2"/>
        <scheme val="minor"/>
      </rPr>
      <t>(COR AMARELA)</t>
    </r>
  </si>
  <si>
    <r>
      <t xml:space="preserve">Mês do Aleitamento Materno / Mês Mundial da Amamentação
</t>
    </r>
    <r>
      <rPr>
        <b/>
        <sz val="10"/>
        <color theme="1"/>
        <rFont val="Aptos Narrow"/>
        <family val="2"/>
        <scheme val="minor"/>
      </rPr>
      <t>(COR AMARELA)</t>
    </r>
  </si>
  <si>
    <r>
      <rPr>
        <b/>
        <sz val="10"/>
        <color theme="1"/>
        <rFont val="Aptos Narrow"/>
        <family val="2"/>
        <scheme val="minor"/>
      </rPr>
      <t>Senadora Zenaide Maia</t>
    </r>
    <r>
      <rPr>
        <sz val="10"/>
        <color theme="1"/>
        <rFont val="Aptos Narrow"/>
        <family val="2"/>
        <scheme val="minor"/>
      </rPr>
      <t xml:space="preserve">
Procuradoria Especial da Mulher
Contato: 3303-1710/ 1716</t>
    </r>
  </si>
  <si>
    <r>
      <t xml:space="preserve">Em Alusão à Lei Maria da Penha
</t>
    </r>
    <r>
      <rPr>
        <b/>
        <sz val="10"/>
        <color theme="1"/>
        <rFont val="Aptos Narrow"/>
        <family val="2"/>
        <scheme val="minor"/>
      </rPr>
      <t xml:space="preserve">
(COR LILÁS)</t>
    </r>
  </si>
  <si>
    <t>06/08/2025
a
07/08/2025</t>
  </si>
  <si>
    <t>07/08/2025
(período original)</t>
  </si>
  <si>
    <t xml:space="preserve">PELÍCULAS ENTREGUES
em 05/08/2025
</t>
  </si>
  <si>
    <r>
      <t xml:space="preserve">Promulgação da Lei Maria da Penha
</t>
    </r>
    <r>
      <rPr>
        <b/>
        <sz val="10"/>
        <color theme="1"/>
        <rFont val="Aptos Narrow"/>
        <family val="2"/>
        <scheme val="minor"/>
      </rPr>
      <t xml:space="preserve">
(COR LILÁS)</t>
    </r>
  </si>
  <si>
    <r>
      <t xml:space="preserve">Campanha pelo fim da Violência Contra a Mulher
</t>
    </r>
    <r>
      <rPr>
        <b/>
        <sz val="10"/>
        <color theme="1"/>
        <rFont val="Aptos Narrow"/>
        <family val="2"/>
        <scheme val="minor"/>
      </rPr>
      <t>(COR LILÁS/ROXA)</t>
    </r>
  </si>
  <si>
    <t>10/08/2025
a
13/08/2025
(período original)</t>
  </si>
  <si>
    <t>1º/08/2025</t>
  </si>
  <si>
    <t>00200.013595/2025-73</t>
  </si>
  <si>
    <t>SIM
00100.137182/2025-10</t>
  </si>
  <si>
    <r>
      <t xml:space="preserve">Agosto Lilás
</t>
    </r>
    <r>
      <rPr>
        <b/>
        <sz val="10"/>
        <color theme="1"/>
        <rFont val="Aptos Narrow"/>
        <family val="2"/>
        <scheme val="minor"/>
      </rPr>
      <t>(COR LILÁS/ROXA)</t>
    </r>
  </si>
  <si>
    <r>
      <rPr>
        <b/>
        <sz val="10"/>
        <color theme="1"/>
        <rFont val="Aptos Narrow"/>
        <family val="2"/>
        <scheme val="minor"/>
      </rPr>
      <t>Senadora Professora Dorinha Seabra
Líder da Bancada Feminina no Senado Federal</t>
    </r>
    <r>
      <rPr>
        <sz val="10"/>
        <color theme="1"/>
        <rFont val="Aptos Narrow"/>
        <family val="2"/>
        <scheme val="minor"/>
      </rPr>
      <t xml:space="preserve">
Contato: 3303-5990</t>
    </r>
  </si>
  <si>
    <t>00200.013783/2025-00</t>
  </si>
  <si>
    <t>SIM
00100.139055/2025-47</t>
  </si>
  <si>
    <r>
      <t xml:space="preserve">"19 Anos da Lei Maria da Penha" e à campanha "Agosto Lilás"
</t>
    </r>
    <r>
      <rPr>
        <b/>
        <sz val="10"/>
        <color theme="1"/>
        <rFont val="Aptos Narrow"/>
        <family val="2"/>
        <scheme val="minor"/>
      </rPr>
      <t xml:space="preserve">
(COR LILÁS/ROXA)</t>
    </r>
  </si>
  <si>
    <r>
      <t xml:space="preserve">Dia Nacional da Atrofia Muscular Espinhal - AME
</t>
    </r>
    <r>
      <rPr>
        <b/>
        <sz val="10"/>
        <color theme="1"/>
        <rFont val="Aptos Narrow"/>
        <family val="2"/>
        <scheme val="minor"/>
      </rPr>
      <t>(COR AZUL)</t>
    </r>
  </si>
  <si>
    <t>08/08/2025
a
09/08/2025</t>
  </si>
  <si>
    <t>PELÍCULAS ENTREGUES
em 05/08/2025</t>
  </si>
  <si>
    <r>
      <rPr>
        <b/>
        <sz val="10"/>
        <color theme="1"/>
        <rFont val="Aptos Narrow"/>
        <family val="2"/>
        <scheme val="minor"/>
      </rPr>
      <t>Deputado Federal Júnior Mano</t>
    </r>
    <r>
      <rPr>
        <sz val="10"/>
        <color theme="1"/>
        <rFont val="Aptos Narrow"/>
        <family val="2"/>
        <scheme val="minor"/>
      </rPr>
      <t xml:space="preserve">
Contato: 3215-5807/ 3807</t>
    </r>
  </si>
  <si>
    <t>00200.013017/2025-37</t>
  </si>
  <si>
    <r>
      <t xml:space="preserve">Festival Internacional Curicaca
</t>
    </r>
    <r>
      <rPr>
        <b/>
        <sz val="10"/>
        <color theme="1"/>
        <rFont val="Aptos Narrow"/>
        <family val="2"/>
        <scheme val="minor"/>
      </rPr>
      <t>(COR ROXA)</t>
    </r>
  </si>
  <si>
    <t>ILUMINAÇÃO CANCELADA</t>
  </si>
  <si>
    <r>
      <rPr>
        <b/>
        <sz val="10"/>
        <color theme="0"/>
        <rFont val="Aptos Narrow"/>
        <family val="2"/>
        <scheme val="minor"/>
      </rPr>
      <t>Deputado Federal Júnior Mano</t>
    </r>
    <r>
      <rPr>
        <sz val="10"/>
        <color theme="0"/>
        <rFont val="Aptos Narrow"/>
        <family val="2"/>
        <scheme val="minor"/>
      </rPr>
      <t xml:space="preserve">
Contato: 3215-5807/ 3807</t>
    </r>
  </si>
  <si>
    <t xml:space="preserve">SIM
00100.133955/2025-81 </t>
  </si>
  <si>
    <t>PROJEÇÃO
Festival Internacional Curicaca</t>
  </si>
  <si>
    <t>13/08/2025
(17h30 às 23h59)</t>
  </si>
  <si>
    <r>
      <rPr>
        <b/>
        <sz val="10"/>
        <color theme="1"/>
        <rFont val="Aptos Narrow"/>
        <family val="2"/>
        <scheme val="minor"/>
      </rPr>
      <t>Olivier Fontan</t>
    </r>
    <r>
      <rPr>
        <sz val="10"/>
        <color theme="1"/>
        <rFont val="Aptos Narrow"/>
        <family val="2"/>
        <scheme val="minor"/>
      </rPr>
      <t xml:space="preserve">
Encarregado de Negócios da Embaixada da França no Brasil</t>
    </r>
  </si>
  <si>
    <t>00200.013416/2025-06</t>
  </si>
  <si>
    <t xml:space="preserve">SIM
00100.134166/2025-67 </t>
  </si>
  <si>
    <r>
      <t xml:space="preserve">Abertura da Temporada França-Brasil 2025
</t>
    </r>
    <r>
      <rPr>
        <b/>
        <sz val="10"/>
        <color theme="1"/>
        <rFont val="Aptos Narrow"/>
        <family val="2"/>
        <scheme val="minor"/>
      </rPr>
      <t>(COR AZUL na Cúpula e
COR VERMELHA no Anexo I)</t>
    </r>
  </si>
  <si>
    <t>20/08/2025
a
21/08/2024</t>
  </si>
  <si>
    <r>
      <t xml:space="preserve">PELÍCULAS ENTREGUES
em 20/08/2025
</t>
    </r>
    <r>
      <rPr>
        <b/>
        <sz val="10"/>
        <color rgb="FFC00000"/>
        <rFont val="Aptos Narrow"/>
        <family val="2"/>
        <scheme val="minor"/>
      </rPr>
      <t>Obs.: 00100.134156/2025-21
*Senador Romário cedeu o dia 21.
*Caso a Presidência da Câmara não autorize a iluminação, o Senado deverá ser iluminado de azul (Cúpula) e vermelho (Anexo I). 
Entretanto, se porventura a Presidência da Câmara autorizar o pleito, a Cúpula e Anexo I do Senado serão iluminados de azul e branco, respectivamente, enquanto o Anexo I e Cúpula da Câmara, iluminados de branco e vermelho, na devida ordem.</t>
    </r>
  </si>
  <si>
    <r>
      <t xml:space="preserve">Dia da Pessoa com Deficiência Intelectual
</t>
    </r>
    <r>
      <rPr>
        <b/>
        <sz val="10"/>
        <color theme="1"/>
        <rFont val="Aptos Narrow"/>
        <family val="2"/>
        <scheme val="minor"/>
      </rPr>
      <t>(COR LARANJA)</t>
    </r>
  </si>
  <si>
    <t>22/08/2025
a
23/08/2025</t>
  </si>
  <si>
    <t>PELÍCULAS ENTREGUES
em 20/08/2025</t>
  </si>
  <si>
    <t xml:space="preserve">Autorizado pela Câmara dos Deputados </t>
  </si>
  <si>
    <t>00200.012498/2025-63</t>
  </si>
  <si>
    <t>SIM
00100.125204/2025-91</t>
  </si>
  <si>
    <r>
      <t xml:space="preserve">Campanha de Conscientização da Primeira Infância
</t>
    </r>
    <r>
      <rPr>
        <b/>
        <sz val="10"/>
        <color theme="1"/>
        <rFont val="Aptos Narrow"/>
        <family val="2"/>
        <scheme val="minor"/>
      </rPr>
      <t>(COR VERDE)</t>
    </r>
  </si>
  <si>
    <t>24/08/2025
a
26/08/2025</t>
  </si>
  <si>
    <t>Deputado Federal Zacharias Calil
Contato: 3215-5616</t>
  </si>
  <si>
    <t>00200.012856/2025-38</t>
  </si>
  <si>
    <t>SIM
00100.128552/2025-10</t>
  </si>
  <si>
    <t>PROJEÇÃO
Mês Mundial da Prevenção e Controle do Colesterol</t>
  </si>
  <si>
    <t>26/08/2025
(19h às 20h30)</t>
  </si>
  <si>
    <r>
      <t xml:space="preserve">Dia Internacional da Igualdade Feminina
</t>
    </r>
    <r>
      <rPr>
        <b/>
        <sz val="10"/>
        <color theme="1"/>
        <rFont val="Aptos Narrow"/>
        <family val="2"/>
        <scheme val="minor"/>
      </rPr>
      <t>(COR LARANJA)</t>
    </r>
  </si>
  <si>
    <t>27/08/2025
a
28/08/2025</t>
  </si>
  <si>
    <t>PELÍCULAS ENTREGUES
em 26/08/2025</t>
  </si>
  <si>
    <t>00200.013916/2025-30</t>
  </si>
  <si>
    <t>SIM
00100.140837/2025-29</t>
  </si>
  <si>
    <r>
      <t xml:space="preserve">Dia Nacional de Conscientização sobre a Esclerose Múltipla
</t>
    </r>
    <r>
      <rPr>
        <b/>
        <sz val="10"/>
        <color theme="1"/>
        <rFont val="Aptos Narrow"/>
        <family val="2"/>
        <scheme val="minor"/>
      </rPr>
      <t>(COR LARANJA)</t>
    </r>
  </si>
  <si>
    <r>
      <t xml:space="preserve">Dia Nacional da Diálise
</t>
    </r>
    <r>
      <rPr>
        <b/>
        <sz val="10"/>
        <color theme="1"/>
        <rFont val="Aptos Narrow"/>
        <family val="2"/>
        <scheme val="minor"/>
      </rPr>
      <t>(COR VERMELHA na Cúpula e
COR AZUL no Anexo I)</t>
    </r>
  </si>
  <si>
    <t>29/08/2025
a
30/08/2025</t>
  </si>
  <si>
    <r>
      <rPr>
        <b/>
        <sz val="10"/>
        <color theme="1"/>
        <rFont val="Aptos Narrow"/>
        <family val="2"/>
        <scheme val="minor"/>
      </rPr>
      <t>Conselho Nacional de Nutrição</t>
    </r>
    <r>
      <rPr>
        <sz val="10"/>
        <color theme="1"/>
        <rFont val="Aptos Narrow"/>
        <family val="2"/>
        <scheme val="minor"/>
      </rPr>
      <t xml:space="preserve">
Contato: 3225-6027
</t>
    </r>
    <r>
      <rPr>
        <b/>
        <sz val="10"/>
        <color theme="1"/>
        <rFont val="Aptos Narrow"/>
        <family val="2"/>
        <scheme val="minor"/>
      </rPr>
      <t>Senador Ciro Nogueira</t>
    </r>
    <r>
      <rPr>
        <sz val="10"/>
        <color theme="1"/>
        <rFont val="Aptos Narrow"/>
        <family val="2"/>
        <scheme val="minor"/>
      </rPr>
      <t xml:space="preserve">
Contato: 3303-6185/ 6187</t>
    </r>
  </si>
  <si>
    <t>00200.013689/2025-42</t>
  </si>
  <si>
    <t>SIM
00100.137881/2025-51</t>
  </si>
  <si>
    <r>
      <t xml:space="preserve">Dia Nacional do Nutricionista
</t>
    </r>
    <r>
      <rPr>
        <b/>
        <sz val="10"/>
        <color theme="1"/>
        <rFont val="Aptos Narrow"/>
        <family val="2"/>
        <scheme val="minor"/>
      </rPr>
      <t>(COR VERDE)</t>
    </r>
  </si>
  <si>
    <r>
      <rPr>
        <b/>
        <sz val="10"/>
        <color theme="1"/>
        <rFont val="Aptos Narrow"/>
        <family val="2"/>
        <scheme val="minor"/>
      </rPr>
      <t>Senador Esperidião Amin</t>
    </r>
    <r>
      <rPr>
        <sz val="10"/>
        <color theme="1"/>
        <rFont val="Aptos Narrow"/>
        <family val="2"/>
        <scheme val="minor"/>
      </rPr>
      <t xml:space="preserve">
Contato: 3303-6446</t>
    </r>
  </si>
  <si>
    <t>00200.014218/2025-51</t>
  </si>
  <si>
    <t>SIM
00100.144903/2025-30</t>
  </si>
  <si>
    <r>
      <rPr>
        <b/>
        <sz val="9"/>
        <color theme="0"/>
        <rFont val="Aptos Narrow"/>
        <family val="2"/>
        <scheme val="minor"/>
      </rPr>
      <t xml:space="preserve">Paulo Venícius Brito da Silva, 
Secretário de Comunicação Institucional da Presidência da República
</t>
    </r>
    <r>
      <rPr>
        <sz val="9"/>
        <color theme="0"/>
        <rFont val="Aptos Narrow"/>
        <family val="2"/>
        <scheme val="minor"/>
      </rPr>
      <t>Contato: 3411-1902/ 1270</t>
    </r>
  </si>
  <si>
    <t>00200.014586/2025-08</t>
  </si>
  <si>
    <t>SIM
00100.148752/2025-99</t>
  </si>
  <si>
    <t>PROJEÇÃO
Comemorações da Semana da Pátria</t>
  </si>
  <si>
    <r>
      <rPr>
        <b/>
        <sz val="9"/>
        <color rgb="FF92D050"/>
        <rFont val="Aptos Narrow"/>
        <family val="2"/>
        <scheme val="minor"/>
      </rPr>
      <t>31/08/2025 montagem</t>
    </r>
    <r>
      <rPr>
        <b/>
        <sz val="9"/>
        <color rgb="FFFF0000"/>
        <rFont val="Aptos Narrow"/>
        <family val="2"/>
        <scheme val="minor"/>
      </rPr>
      <t xml:space="preserve">
PROJEÇÃO
01/09/2025
a
07/09/2025
(18h30 às 23h30)
</t>
    </r>
    <r>
      <rPr>
        <b/>
        <sz val="9"/>
        <color rgb="FF92D050"/>
        <rFont val="Aptos Narrow"/>
        <family val="2"/>
        <scheme val="minor"/>
      </rPr>
      <t>08/09/2025
desmontagem</t>
    </r>
  </si>
  <si>
    <r>
      <t xml:space="preserve">Dia Mundial da Fibrose Cística
</t>
    </r>
    <r>
      <rPr>
        <b/>
        <sz val="10"/>
        <color theme="1"/>
        <rFont val="Aptos Narrow"/>
        <family val="2"/>
        <scheme val="minor"/>
      </rPr>
      <t>(COR ROXA)</t>
    </r>
  </si>
  <si>
    <t>02/09/2025
a
03/09/2025</t>
  </si>
  <si>
    <t>00200.011575/2025-68</t>
  </si>
  <si>
    <t>SIM
00100.115702/2025-25</t>
  </si>
  <si>
    <r>
      <t xml:space="preserve">Setembro Roxo - Mês Nacional de Conscientização sobre a Fibrose Cística
</t>
    </r>
    <r>
      <rPr>
        <b/>
        <sz val="10"/>
        <color theme="1"/>
        <rFont val="Aptos Narrow"/>
        <family val="2"/>
        <scheme val="minor"/>
      </rPr>
      <t xml:space="preserve">
(COR ROXA)</t>
    </r>
  </si>
  <si>
    <r>
      <rPr>
        <b/>
        <sz val="10"/>
        <color theme="1"/>
        <rFont val="Aptos Narrow"/>
        <family val="2"/>
        <scheme val="minor"/>
      </rPr>
      <t xml:space="preserve">Senadora Ana Paula Lobato,
Terceira-Secretária do Senado Federal
</t>
    </r>
    <r>
      <rPr>
        <sz val="10"/>
        <color theme="1"/>
        <rFont val="Aptos Narrow"/>
        <family val="2"/>
        <scheme val="minor"/>
      </rPr>
      <t>Contato: 3303-1874</t>
    </r>
  </si>
  <si>
    <t>00200.015061/2025-81</t>
  </si>
  <si>
    <t>SIM
00100.154898/2025-73</t>
  </si>
  <si>
    <r>
      <t xml:space="preserve">Dia Internacional de Ação pela Igualdade da Mulher
</t>
    </r>
    <r>
      <rPr>
        <b/>
        <sz val="10"/>
        <color theme="1"/>
        <rFont val="Aptos Narrow"/>
        <family val="2"/>
        <scheme val="minor"/>
      </rPr>
      <t>(COR ROXA)</t>
    </r>
  </si>
  <si>
    <r>
      <t xml:space="preserve">Dia Internacional da Mulher Indígena
</t>
    </r>
    <r>
      <rPr>
        <b/>
        <sz val="10"/>
        <color theme="1"/>
        <rFont val="Aptos Narrow"/>
        <family val="2"/>
        <scheme val="minor"/>
      </rPr>
      <t>(COR AMARELA)</t>
    </r>
  </si>
  <si>
    <t>04/09/2025
a
05/09/2025</t>
  </si>
  <si>
    <r>
      <t xml:space="preserve">Semana da Pátria
</t>
    </r>
    <r>
      <rPr>
        <b/>
        <sz val="10"/>
        <color theme="1"/>
        <rFont val="Aptos Narrow"/>
        <family val="2"/>
        <scheme val="minor"/>
      </rPr>
      <t>(COR AMARELA na Cúpula e
COR VERDE no Anexo I)</t>
    </r>
  </si>
  <si>
    <t>06/09/2025
a
08/09/2025</t>
  </si>
  <si>
    <t>PELÍCULAS ENTREGUES
em 05/09/2025</t>
  </si>
  <si>
    <r>
      <t xml:space="preserve">Dia Mundial da Prevenção do Suicídio
</t>
    </r>
    <r>
      <rPr>
        <b/>
        <sz val="10"/>
        <color theme="1"/>
        <rFont val="Aptos Narrow"/>
        <family val="2"/>
        <scheme val="minor"/>
      </rPr>
      <t>(COR AMARELA)</t>
    </r>
  </si>
  <si>
    <t>09/09/2025
a
12/09/2025</t>
  </si>
  <si>
    <r>
      <t xml:space="preserve">Campanha de Conscientização sobre a Prevenção do Suicídio
</t>
    </r>
    <r>
      <rPr>
        <b/>
        <sz val="10"/>
        <color theme="1"/>
        <rFont val="Aptos Narrow"/>
        <family val="2"/>
        <scheme val="minor"/>
      </rPr>
      <t>(COR AMARELA)</t>
    </r>
  </si>
  <si>
    <r>
      <t xml:space="preserve">Campanha de Prevenção ao Suicídio
</t>
    </r>
    <r>
      <rPr>
        <b/>
        <sz val="10"/>
        <color theme="1"/>
        <rFont val="Aptos Narrow"/>
        <family val="2"/>
        <scheme val="minor"/>
      </rPr>
      <t>(COR AMARELA)</t>
    </r>
  </si>
  <si>
    <t>00200.013958/2025-71</t>
  </si>
  <si>
    <t>SIM
00100.141532/2025-34</t>
  </si>
  <si>
    <r>
      <t xml:space="preserve">Setembro Amarelo- Conscientização e Prevenção ao Suicídio
</t>
    </r>
    <r>
      <rPr>
        <b/>
        <sz val="10"/>
        <color theme="1"/>
        <rFont val="Aptos Narrow"/>
        <family val="2"/>
        <scheme val="minor"/>
      </rPr>
      <t>(COR AMARELA)</t>
    </r>
  </si>
  <si>
    <t>00200.004224/2025-09</t>
  </si>
  <si>
    <t>SIM
00100.037503/2025-79</t>
  </si>
  <si>
    <r>
      <t xml:space="preserve">Dia Nacional da Fibrose Pulmonar Idiopática
</t>
    </r>
    <r>
      <rPr>
        <b/>
        <sz val="10"/>
        <color theme="1"/>
        <rFont val="Aptos Narrow"/>
        <family val="2"/>
        <scheme val="minor"/>
      </rPr>
      <t>(COR AZUL)</t>
    </r>
  </si>
  <si>
    <t>13/09/2025
a
14/09/2025</t>
  </si>
  <si>
    <t xml:space="preserve">00200.002164/2025-81 </t>
  </si>
  <si>
    <t>SIM
00100.167835/2025-87</t>
  </si>
  <si>
    <r>
      <t xml:space="preserve">Dia Mundial do Doador de Medula Óssea
</t>
    </r>
    <r>
      <rPr>
        <b/>
        <sz val="10"/>
        <color theme="1"/>
        <rFont val="Aptos Narrow"/>
        <family val="2"/>
        <scheme val="minor"/>
      </rPr>
      <t>(COR VERMELHA)</t>
    </r>
  </si>
  <si>
    <t>15/09/2025
a
16/09/2025</t>
  </si>
  <si>
    <t>PELÍCULAS ENTREGUES
em 12/09/2025</t>
  </si>
  <si>
    <t>Grupo Brasileiro de Tumores Ginecológicos</t>
  </si>
  <si>
    <t>00200.011310/2025-60</t>
  </si>
  <si>
    <t>SIM
00100.113504/2025-27</t>
  </si>
  <si>
    <t>PROJEÇÃO
Campanha Setembro em Flor, que tem como objetivo ampliar o conhecimento da população sobre os tumores que acometem o sistema reprodutor feminino</t>
  </si>
  <si>
    <t>16/09/2025
(19h às 22h30)</t>
  </si>
  <si>
    <r>
      <t xml:space="preserve">Dia Nacional de Distrofias Musculares
</t>
    </r>
    <r>
      <rPr>
        <b/>
        <sz val="10"/>
        <color theme="1"/>
        <rFont val="Aptos Narrow"/>
        <family val="2"/>
        <scheme val="minor"/>
      </rPr>
      <t>(COR VERDE)</t>
    </r>
  </si>
  <si>
    <t>17/09/2025
a
18/09/2025</t>
  </si>
  <si>
    <t>PELÍCULAS ENTREGUES
em 17/09/2025</t>
  </si>
  <si>
    <t>00200.013103/2025-40</t>
  </si>
  <si>
    <t>SIM
00100.131442/2025-35</t>
  </si>
  <si>
    <t>SIM
00100.132068/2025-95</t>
  </si>
  <si>
    <r>
      <t xml:space="preserve">Dia Nacional da Luta da Pessoa com Deficiência
</t>
    </r>
    <r>
      <rPr>
        <b/>
        <sz val="10"/>
        <color theme="1"/>
        <rFont val="Aptos Narrow"/>
        <family val="2"/>
        <scheme val="minor"/>
      </rPr>
      <t>(COR VERDE)</t>
    </r>
  </si>
  <si>
    <t>00200.015790/2025-38</t>
  </si>
  <si>
    <t>SIM
00100.163303/2025-71</t>
  </si>
  <si>
    <t>00200.015742/2025-40</t>
  </si>
  <si>
    <t>SIM
00100.163442/2025-02</t>
  </si>
  <si>
    <r>
      <t xml:space="preserve">Conscientização da Asfixia Perinatal
</t>
    </r>
    <r>
      <rPr>
        <b/>
        <sz val="10"/>
        <color theme="1"/>
        <rFont val="Aptos Narrow"/>
        <family val="2"/>
        <scheme val="minor"/>
      </rPr>
      <t>(COR VERDE)</t>
    </r>
  </si>
  <si>
    <r>
      <t xml:space="preserve">Dia Internacional Contra a Exploração Sexual e o Tráfico de Mulheres e Crianças
</t>
    </r>
    <r>
      <rPr>
        <b/>
        <sz val="10"/>
        <color theme="1"/>
        <rFont val="Aptos Narrow"/>
        <family val="2"/>
        <scheme val="minor"/>
      </rPr>
      <t>(COR AMARELA)</t>
    </r>
  </si>
  <si>
    <t>19/09/2025
a
20/09/2025</t>
  </si>
  <si>
    <r>
      <t xml:space="preserve">Dia de Conscientização da Púrpura Trombocitopência (PTI) / Dia Nacional da Conscientização da Doença de Alzheimer
</t>
    </r>
    <r>
      <rPr>
        <b/>
        <sz val="10"/>
        <color theme="1"/>
        <rFont val="Aptos Narrow"/>
        <family val="2"/>
        <scheme val="minor"/>
      </rPr>
      <t>(COR ROXA)</t>
    </r>
  </si>
  <si>
    <t>21/09/2025
a
22/09/2025</t>
  </si>
  <si>
    <t>Senador Paulo Paim
Contato: 3303-5232</t>
  </si>
  <si>
    <t>00200.016737/2025-54</t>
  </si>
  <si>
    <t>SIM
00100.172612/2025-31</t>
  </si>
  <si>
    <r>
      <t xml:space="preserve">Mês Mundial de Conscientização  sobre o Alzheimer”
</t>
    </r>
    <r>
      <rPr>
        <b/>
        <sz val="10"/>
        <color theme="1"/>
        <rFont val="Aptos Narrow"/>
        <family val="2"/>
        <scheme val="minor"/>
      </rPr>
      <t>(COR ROXA)</t>
    </r>
  </si>
  <si>
    <t>PELÍCULAS ENTREGUES
em 17/09/2026</t>
  </si>
  <si>
    <t>Deputado  Federal Pedro  Westphalen</t>
  </si>
  <si>
    <t xml:space="preserve">00200.016668/2025-89 </t>
  </si>
  <si>
    <t>SIM
00100.172192/2025-93</t>
  </si>
  <si>
    <t>PROJEÇÃO
Dia do Pulmão</t>
  </si>
  <si>
    <t>23/09/2025 
(19h às 22h)</t>
  </si>
  <si>
    <r>
      <t xml:space="preserve">Campanha Setembro Azul:
Dia Nacional do Atleta Paraolímpico /
Dia Mundial da Língua de Sinais
Dia Nacional do Surdo /
Dia Internacional do Surdo e do Intérprete
</t>
    </r>
    <r>
      <rPr>
        <b/>
        <sz val="10"/>
        <color theme="1"/>
        <rFont val="Aptos Narrow"/>
        <family val="2"/>
        <scheme val="minor"/>
      </rPr>
      <t>(COR AZUL)</t>
    </r>
  </si>
  <si>
    <t>23/09/2025
a
26/09/2025</t>
  </si>
  <si>
    <r>
      <t xml:space="preserve">Aniversário do Sistema Único de Saúde
</t>
    </r>
    <r>
      <rPr>
        <b/>
        <sz val="10"/>
        <color theme="1"/>
        <rFont val="Aptos Narrow"/>
        <family val="2"/>
        <scheme val="minor"/>
      </rPr>
      <t>(COR AZUL)</t>
    </r>
  </si>
  <si>
    <t>23/09/2025 
a 
24/09/2025</t>
  </si>
  <si>
    <t>00200.016868/2025-31</t>
  </si>
  <si>
    <t>00100.174589/2025-10</t>
  </si>
  <si>
    <r>
      <t xml:space="preserve">Dia Internacional contra a Exploração Sexual e o Tráfico de Mulheres e Crianças
</t>
    </r>
    <r>
      <rPr>
        <b/>
        <sz val="10"/>
        <color theme="1"/>
        <rFont val="Aptos Narrow"/>
        <family val="2"/>
        <scheme val="minor"/>
      </rPr>
      <t>(COR AZUL)</t>
    </r>
  </si>
  <si>
    <r>
      <rPr>
        <b/>
        <sz val="10"/>
        <color theme="1"/>
        <rFont val="Aptos Narrow"/>
        <family val="2"/>
        <scheme val="minor"/>
      </rPr>
      <t>Senadora Dorinha Seabra</t>
    </r>
    <r>
      <rPr>
        <sz val="10"/>
        <color theme="1"/>
        <rFont val="Aptos Narrow"/>
        <family val="2"/>
        <scheme val="minor"/>
      </rPr>
      <t xml:space="preserve">
Contato: 5990
Marinha do Brasil
Contato: 3429-1574</t>
    </r>
  </si>
  <si>
    <t>00200.011833/2025-14</t>
  </si>
  <si>
    <t>SIM
00100.118065/2025-49</t>
  </si>
  <si>
    <r>
      <t xml:space="preserve">Dia Marítimo Mundial
</t>
    </r>
    <r>
      <rPr>
        <b/>
        <sz val="10"/>
        <color theme="1"/>
        <rFont val="Aptos Narrow"/>
        <family val="2"/>
        <scheme val="minor"/>
      </rPr>
      <t>(COR AZUL)</t>
    </r>
  </si>
  <si>
    <t>25/09/2025
a
26/09/2025</t>
  </si>
  <si>
    <t>00200.014876/2025-43</t>
  </si>
  <si>
    <t>SIM
00100.152809/2025-54</t>
  </si>
  <si>
    <r>
      <t xml:space="preserve">Dia Internacional das Ataxias
</t>
    </r>
    <r>
      <rPr>
        <b/>
        <sz val="10"/>
        <color theme="1"/>
        <rFont val="Aptos Narrow"/>
        <family val="2"/>
        <scheme val="minor"/>
      </rPr>
      <t>(COR AZUL)</t>
    </r>
  </si>
  <si>
    <t>Ministra de Estado das Mulheres, Senhora Márcia Helena Carvalho Lopes
Contato: 2028-4529/2027-3601/2027-3625</t>
  </si>
  <si>
    <t>00200.016685/2025-16</t>
  </si>
  <si>
    <t>00100.172718/2025-35</t>
  </si>
  <si>
    <t>PROJEÇÃO
5ª Conferência 
Nacional de Políticas para as Mulheres – 5ª CNMP. 
Tema: Mais Democracia, Mais 
Igualdade, Mais Conquistas para Todas.</t>
  </si>
  <si>
    <t xml:space="preserve">
26/09/2025 
(19h às 22h)</t>
  </si>
  <si>
    <t>Aguardando autorização</t>
  </si>
  <si>
    <r>
      <t xml:space="preserve">Dia Mundial do Doador de Órgãos
</t>
    </r>
    <r>
      <rPr>
        <b/>
        <sz val="10"/>
        <color theme="1"/>
        <rFont val="Aptos Narrow"/>
        <family val="2"/>
        <scheme val="minor"/>
      </rPr>
      <t>(COR VERDE)</t>
    </r>
  </si>
  <si>
    <t>27/09/2025
a
28/09/2025</t>
  </si>
  <si>
    <r>
      <rPr>
        <b/>
        <sz val="9"/>
        <color theme="1"/>
        <rFont val="Aptos Narrow"/>
        <family val="2"/>
        <scheme val="minor"/>
      </rPr>
      <t>Senador Jorge Kajuru</t>
    </r>
    <r>
      <rPr>
        <sz val="9"/>
        <color theme="1"/>
        <rFont val="Aptos Narrow"/>
        <family val="2"/>
        <scheme val="minor"/>
      </rPr>
      <t xml:space="preserve">
Contato: 3303-2843</t>
    </r>
  </si>
  <si>
    <t>00200.015100/2025-40</t>
  </si>
  <si>
    <t>SIM
00100.155038/2025-56</t>
  </si>
  <si>
    <r>
      <t xml:space="preserve">Dia Nacional da Doação de Órgãos para Transplante. 
</t>
    </r>
    <r>
      <rPr>
        <b/>
        <sz val="9"/>
        <color theme="1"/>
        <rFont val="Aptos Narrow"/>
        <family val="2"/>
        <scheme val="minor"/>
      </rPr>
      <t>(COR VERDE)</t>
    </r>
  </si>
  <si>
    <t>Senador Jorge Kajuru
Contato: 3303-2844</t>
  </si>
  <si>
    <t xml:space="preserve">00200.015100/2025-41 </t>
  </si>
  <si>
    <t>SIM
00100.155039/2025-00</t>
  </si>
  <si>
    <t xml:space="preserve">PROJEÇÃO
Dia Nacional da Doação de Órgãos para Transplante. </t>
  </si>
  <si>
    <t>27/09/2025
(Testes)
28/09/2025 
(19h às 23h30)</t>
  </si>
  <si>
    <t>Secretaria de Relações Públicas
Acionamento do CT 236/2024
7ª/10</t>
  </si>
  <si>
    <t>00200.016451/2025-79</t>
  </si>
  <si>
    <t>SIM
00100.169977/2025-89</t>
  </si>
  <si>
    <t>PROJEÇÃO
Outubro Rosa</t>
  </si>
  <si>
    <t>30/09/2025
(Testes)
01/10/2025 
(19h às 23h)</t>
  </si>
  <si>
    <t xml:space="preserve">
Autorização drone - 00100.174457/2025-98 (VIA 001)
</t>
  </si>
  <si>
    <r>
      <t xml:space="preserve">Promulgação da Lei 9.100/95 que garante cotas para mulheres na Política
</t>
    </r>
    <r>
      <rPr>
        <b/>
        <sz val="9"/>
        <rFont val="Aptos Narrow"/>
        <family val="2"/>
        <scheme val="minor"/>
      </rPr>
      <t xml:space="preserve">
(COR ROXA)</t>
    </r>
  </si>
  <si>
    <t>1º/10/2025
a
02/10/2025</t>
  </si>
  <si>
    <t xml:space="preserve"> PELÍCULAS ENTREGUES
em 17/09/2025</t>
  </si>
  <si>
    <r>
      <t xml:space="preserve">Dia Mundial da Paralisia Cerebral
</t>
    </r>
    <r>
      <rPr>
        <b/>
        <sz val="10"/>
        <color theme="1"/>
        <rFont val="Aptos Narrow"/>
        <family val="2"/>
        <scheme val="minor"/>
      </rPr>
      <t>(COR VERDE)</t>
    </r>
  </si>
  <si>
    <t>06/10/2025
a
07/10/2025</t>
  </si>
  <si>
    <t>Deputado Dr. Zacharias Calil
Contato: 3215-5616</t>
  </si>
  <si>
    <t>00200.015976/2025-97</t>
  </si>
  <si>
    <t>SIM
00100.169293/2025-87</t>
  </si>
  <si>
    <r>
      <t xml:space="preserve">Outubro  Roxo  -  A  luta  pela  vida  começa pela conscientização
</t>
    </r>
    <r>
      <rPr>
        <b/>
        <sz val="10"/>
        <color theme="1"/>
        <rFont val="Aptos Narrow"/>
        <family val="2"/>
        <scheme val="minor"/>
      </rPr>
      <t>(COR ROXA)</t>
    </r>
  </si>
  <si>
    <t xml:space="preserve"> PELÍCULAS ENTREGUES
em 08/10/2025</t>
  </si>
  <si>
    <r>
      <t xml:space="preserve">Dia Nacional e Mundial da Saúde Mental
</t>
    </r>
    <r>
      <rPr>
        <b/>
        <sz val="10"/>
        <color theme="1"/>
        <rFont val="Aptos Narrow"/>
        <family val="2"/>
        <scheme val="minor"/>
      </rPr>
      <t>(COR BRANCA)</t>
    </r>
  </si>
  <si>
    <t>09/10/2025
a
10/10/2025</t>
  </si>
  <si>
    <t>COR BRANCA
(SEM PELÍCULAS)</t>
  </si>
  <si>
    <t>SIM
00100.174589/2025-10</t>
  </si>
  <si>
    <r>
      <t xml:space="preserve">Dia Nacional de Luta contra a Violência à Mulher e ao Dia Estadual de Combate e Enfrentamento à Violência Contra as Mulheres – Lei n° 7.258/2011 
</t>
    </r>
    <r>
      <rPr>
        <b/>
        <sz val="10"/>
        <color theme="1"/>
        <rFont val="Aptos Narrow"/>
        <family val="2"/>
        <scheme val="minor"/>
      </rPr>
      <t>(COR LILÁS/ ROXA)</t>
    </r>
  </si>
  <si>
    <t>11/10/2025
a
12/10/2025</t>
  </si>
  <si>
    <t>1º/10/2025</t>
  </si>
  <si>
    <r>
      <rPr>
        <b/>
        <sz val="10"/>
        <color theme="1"/>
        <rFont val="Aptos Narrow"/>
        <family val="2"/>
        <scheme val="minor"/>
      </rPr>
      <t>Senadora Ana Paula Lobato</t>
    </r>
    <r>
      <rPr>
        <sz val="10"/>
        <color theme="1"/>
        <rFont val="Aptos Narrow"/>
        <family val="2"/>
        <scheme val="minor"/>
      </rPr>
      <t xml:space="preserve">
Contato: 3303-2902</t>
    </r>
  </si>
  <si>
    <t>00200.017453/2025-85</t>
  </si>
  <si>
    <t>SIM
00100.179281/2025-61</t>
  </si>
  <si>
    <r>
      <t xml:space="preserve">Dia Nacional de Luta contra a Violência à Mulher
</t>
    </r>
    <r>
      <rPr>
        <b/>
        <sz val="10"/>
        <color theme="1"/>
        <rFont val="Aptos Narrow"/>
        <family val="2"/>
        <scheme val="minor"/>
      </rPr>
      <t>(COR ROXA)</t>
    </r>
  </si>
  <si>
    <r>
      <rPr>
        <b/>
        <sz val="9"/>
        <color theme="0"/>
        <rFont val="Aptos Narrow"/>
        <family val="2"/>
        <scheme val="minor"/>
      </rPr>
      <t>Deputado Federal Dagoberto Nogueira</t>
    </r>
    <r>
      <rPr>
        <sz val="9"/>
        <color theme="0"/>
        <rFont val="Aptos Narrow"/>
        <family val="2"/>
        <scheme val="minor"/>
      </rPr>
      <t xml:space="preserve">
Contato: 3215-5522</t>
    </r>
  </si>
  <si>
    <t>00200.015536/2025-30</t>
  </si>
  <si>
    <t>SIM
00100.160051/2025-28</t>
  </si>
  <si>
    <t>PROJEÇÃO
Dia Mundial de Combate à Meningite</t>
  </si>
  <si>
    <t>14/10/2025
(18h às 23h59)</t>
  </si>
  <si>
    <t xml:space="preserve">Presidente da Subcomissão Temporária - CASCANCER, Senadora Dra. Eudócia;
e
Senador Nelsinho Trad.
</t>
  </si>
  <si>
    <t>00200.015172/2025-98</t>
  </si>
  <si>
    <t>SIM
00100.173359/2025-33
00100.172013/2025-18</t>
  </si>
  <si>
    <t>PROJEÇÃO
Campanha Outubro Rosa</t>
  </si>
  <si>
    <t>15/10/2025
(18h às 23h)</t>
  </si>
  <si>
    <r>
      <t xml:space="preserve">Dia do Professor
</t>
    </r>
    <r>
      <rPr>
        <b/>
        <sz val="10"/>
        <color theme="1"/>
        <rFont val="Aptos Narrow"/>
        <family val="2"/>
        <scheme val="minor"/>
      </rPr>
      <t>(COR AZUL)</t>
    </r>
  </si>
  <si>
    <t>15/10/2025
a
16/10/2025</t>
  </si>
  <si>
    <t>PELÍCULAS ENTREGUES
em 15/10/2025</t>
  </si>
  <si>
    <r>
      <t xml:space="preserve">Campanha Contra o Câncer de Mama e de Colo Uterino
</t>
    </r>
    <r>
      <rPr>
        <b/>
        <sz val="10"/>
        <color theme="1"/>
        <rFont val="Aptos Narrow"/>
        <family val="2"/>
        <scheme val="minor"/>
      </rPr>
      <t>(COR ROSA)</t>
    </r>
  </si>
  <si>
    <t>17/10/2025
a
20/10/2025</t>
  </si>
  <si>
    <r>
      <t xml:space="preserve">Campanha Outubro Rosa
</t>
    </r>
    <r>
      <rPr>
        <b/>
        <sz val="10"/>
        <color theme="1"/>
        <rFont val="Aptos Narrow"/>
        <family val="2"/>
        <scheme val="minor"/>
      </rPr>
      <t xml:space="preserve">
(COR ROSA)</t>
    </r>
  </si>
  <si>
    <r>
      <t xml:space="preserve">Outubro Rosa
</t>
    </r>
    <r>
      <rPr>
        <b/>
        <sz val="10"/>
        <color theme="1"/>
        <rFont val="Aptos Narrow"/>
        <family val="2"/>
        <scheme val="minor"/>
      </rPr>
      <t>(COR ROSA)</t>
    </r>
  </si>
  <si>
    <r>
      <t xml:space="preserve">Secretaria de Estado de Saúde do Distrito Federal
</t>
    </r>
    <r>
      <rPr>
        <sz val="10"/>
        <color theme="1"/>
        <rFont val="Aptos Narrow"/>
        <family val="2"/>
        <scheme val="minor"/>
      </rPr>
      <t>Juracy Cavalcante Lacerda Júnior- Secretário</t>
    </r>
  </si>
  <si>
    <t>00200.015709/2025-10</t>
  </si>
  <si>
    <t>SIM
00100.162124/2025-16</t>
  </si>
  <si>
    <r>
      <t xml:space="preserve">Outubro Rosa: Mês de Conscientização sobre o 
Câncer de Mama
</t>
    </r>
    <r>
      <rPr>
        <b/>
        <sz val="9"/>
        <rFont val="Aptos Narrow"/>
        <family val="2"/>
        <scheme val="minor"/>
      </rPr>
      <t xml:space="preserve">
(COR ROSA)</t>
    </r>
  </si>
  <si>
    <r>
      <t xml:space="preserve">Senador Flávio Arns
</t>
    </r>
    <r>
      <rPr>
        <sz val="10"/>
        <color theme="1"/>
        <rFont val="Aptos Narrow"/>
        <family val="2"/>
        <scheme val="minor"/>
      </rPr>
      <t>Contato: 3303-6301</t>
    </r>
  </si>
  <si>
    <t xml:space="preserve"> 00200.014697/2025-14</t>
  </si>
  <si>
    <t>SIM
00100.151130/2025-48</t>
  </si>
  <si>
    <r>
      <t xml:space="preserve"> Campanha Nacional de Imunização contra a Poliomielite
</t>
    </r>
    <r>
      <rPr>
        <b/>
        <sz val="10"/>
        <color theme="1"/>
        <rFont val="Aptos Narrow"/>
        <family val="2"/>
        <scheme val="minor"/>
      </rPr>
      <t>(COR VERMELHA)</t>
    </r>
  </si>
  <si>
    <t>21/10/2025
a
22/10/2025</t>
  </si>
  <si>
    <r>
      <t xml:space="preserve">Dia Internacional Contra a Exploração da Mulher 
</t>
    </r>
    <r>
      <rPr>
        <b/>
        <sz val="10"/>
        <color theme="1"/>
        <rFont val="Aptos Narrow"/>
        <family val="2"/>
        <scheme val="minor"/>
      </rPr>
      <t>(COR LARANJA)</t>
    </r>
  </si>
  <si>
    <t>23/10/2025
a
24/10/2025</t>
  </si>
  <si>
    <r>
      <t xml:space="preserve">Dia Nacional de Combate ao Preconceito contra as Pessoas com Nanismo
</t>
    </r>
    <r>
      <rPr>
        <b/>
        <sz val="10"/>
        <color theme="1"/>
        <rFont val="Aptos Narrow"/>
        <family val="2"/>
        <scheme val="minor"/>
      </rPr>
      <t>(COR VERDE)</t>
    </r>
  </si>
  <si>
    <t>25/10/2025
a
26/10/2025</t>
  </si>
  <si>
    <t>Secretaria de Relações Públicas
Acionamento do CT 236/2024
8ª/10</t>
  </si>
  <si>
    <t>00200.018159/2025-91</t>
  </si>
  <si>
    <t>SIM
00100.183708/2025-25</t>
  </si>
  <si>
    <t xml:space="preserve">PROJEÇÃO
Dia do Servidor Público
</t>
  </si>
  <si>
    <t>27/10/2025
(testes) e
28/10/2025 
(19h às 23h)</t>
  </si>
  <si>
    <t xml:space="preserve">
Autorização filmagem com drone
00100.185197/2025-86 (VIA 001)
</t>
  </si>
  <si>
    <r>
      <rPr>
        <b/>
        <sz val="9"/>
        <color theme="0"/>
        <rFont val="Aptos Narrow"/>
        <family val="2"/>
        <scheme val="minor"/>
      </rPr>
      <t>Deputado Federal Jorge Solla</t>
    </r>
    <r>
      <rPr>
        <sz val="9"/>
        <color theme="0"/>
        <rFont val="Aptos Narrow"/>
        <family val="2"/>
        <scheme val="minor"/>
      </rPr>
      <t xml:space="preserve">
Contato: 3215-5134/ 3134</t>
    </r>
  </si>
  <si>
    <t>00200.014546/2025-58</t>
  </si>
  <si>
    <t>SIM
00100.147694/2025-86</t>
  </si>
  <si>
    <t>PROJEÇÃO
Dia Nacional de Prevenção ao Acidente Vascular Cerebral (AVC)</t>
  </si>
  <si>
    <t>29/10/2025
(18h às 22h)</t>
  </si>
  <si>
    <r>
      <rPr>
        <b/>
        <sz val="10"/>
        <color theme="1"/>
        <rFont val="Aptos Narrow"/>
        <family val="2"/>
        <scheme val="minor"/>
      </rPr>
      <t>Senador Flávio Arns</t>
    </r>
    <r>
      <rPr>
        <sz val="10"/>
        <color theme="1"/>
        <rFont val="Aptos Narrow"/>
        <family val="2"/>
        <scheme val="minor"/>
      </rPr>
      <t xml:space="preserve">
Contato: 3303-2902</t>
    </r>
  </si>
  <si>
    <t>00200.019438/2025-71</t>
  </si>
  <si>
    <t>SIM
00100.194050/2025-87</t>
  </si>
  <si>
    <r>
      <t xml:space="preserve">Dia Mundial da Amiloidose
</t>
    </r>
    <r>
      <rPr>
        <b/>
        <sz val="9"/>
        <color theme="1"/>
        <rFont val="Aptos Narrow"/>
        <family val="2"/>
        <scheme val="minor"/>
      </rPr>
      <t>(COR LARANJA)</t>
    </r>
  </si>
  <si>
    <t>27/10/2025
a
28/10/2025</t>
  </si>
  <si>
    <t>PELÍCULAS SEPARADAS
FALTA ENTREGAR</t>
  </si>
  <si>
    <r>
      <rPr>
        <b/>
        <sz val="9"/>
        <rFont val="Aptos Narrow"/>
        <family val="2"/>
        <scheme val="minor"/>
      </rPr>
      <t>Senador Astronauta Marcos Pontes</t>
    </r>
    <r>
      <rPr>
        <sz val="9"/>
        <rFont val="Aptos Narrow"/>
        <family val="2"/>
        <scheme val="minor"/>
      </rPr>
      <t xml:space="preserve">
Contato: 3303-1177</t>
    </r>
  </si>
  <si>
    <t>00200.018826/2025-35</t>
  </si>
  <si>
    <t>SIM
00100.188550/2025-80</t>
  </si>
  <si>
    <r>
      <t xml:space="preserve">Dia do Aviador e da Força Aérea Brasileira
</t>
    </r>
    <r>
      <rPr>
        <b/>
        <sz val="9"/>
        <rFont val="Aptos Narrow"/>
        <family val="2"/>
        <scheme val="minor"/>
      </rPr>
      <t>(COR AZUL na Cúpula e
COR BRANCA no Anexo I)</t>
    </r>
  </si>
  <si>
    <t>29/10/2025
a
30/10/2025</t>
  </si>
  <si>
    <t>PELÍCULAS ENTREGUES
em 17/10/2025</t>
  </si>
  <si>
    <t>00200.017096/2025-55</t>
  </si>
  <si>
    <t xml:space="preserve">SIM
00100.176284/2025-42 </t>
  </si>
  <si>
    <r>
      <t xml:space="preserve">Dia  Internacional  de  Conscientização  sobre  a 
Síndrome de Lennox-Gastaut (SLG)
</t>
    </r>
    <r>
      <rPr>
        <b/>
        <sz val="10"/>
        <color theme="1"/>
        <rFont val="Aptos Narrow"/>
        <family val="2"/>
        <scheme val="minor"/>
      </rPr>
      <t>(COR ROXA)</t>
    </r>
  </si>
  <si>
    <t>31/10/2025
a
01/11/2025</t>
  </si>
  <si>
    <t>00200.019637/2025-80</t>
  </si>
  <si>
    <t>SIM
00100.195524/2025-16</t>
  </si>
  <si>
    <r>
      <t xml:space="preserve">Dia Mundial da Psoríase
</t>
    </r>
    <r>
      <rPr>
        <b/>
        <sz val="10"/>
        <color theme="1"/>
        <rFont val="Aptos Narrow"/>
        <family val="2"/>
        <scheme val="minor"/>
      </rPr>
      <t>(COR ROXA)</t>
    </r>
  </si>
  <si>
    <r>
      <t xml:space="preserve">Dia da Instituição do Direito de Voto da Mulher - 1930
</t>
    </r>
    <r>
      <rPr>
        <b/>
        <sz val="10"/>
        <color theme="1"/>
        <rFont val="Aptos Narrow"/>
        <family val="2"/>
        <scheme val="minor"/>
      </rPr>
      <t>(COR ROXA)</t>
    </r>
  </si>
  <si>
    <t>02/11/2025
a
03/11/2025</t>
  </si>
  <si>
    <r>
      <t xml:space="preserve">Dia da Síndrome da Quilomicronemia Familiar - SQF
</t>
    </r>
    <r>
      <rPr>
        <b/>
        <sz val="10"/>
        <color theme="1"/>
        <rFont val="Aptos Narrow"/>
        <family val="2"/>
        <scheme val="minor"/>
      </rPr>
      <t>(COR VERMELHA)</t>
    </r>
  </si>
  <si>
    <t>04/11/2025
a
05/11/2025</t>
  </si>
  <si>
    <t>Secretaria de Relações Públicas
Acionamento do CT 236/2024
9ª/10</t>
  </si>
  <si>
    <t>00100.201364/2025-43</t>
  </si>
  <si>
    <t>PROJEÇÃO
Início da COP 30</t>
  </si>
  <si>
    <t>09/11/2025
(testes)
a
10/11/2025 
(19h às 23h)</t>
  </si>
  <si>
    <t>Deputado Federal Dr. Zacharuas Calil
Contato: (61) 3215-56169ª/10</t>
  </si>
  <si>
    <t>00200.019117/2025-77</t>
  </si>
  <si>
    <t>PROJEÇÃO
Mês do Diabetes</t>
  </si>
  <si>
    <t>12/11/2025
(19h às 23h)</t>
  </si>
  <si>
    <r>
      <t xml:space="preserve">Campanha Novembro Azul / 
Dia da Pneumonia /
Dia da Amazônia Azul
</t>
    </r>
    <r>
      <rPr>
        <b/>
        <sz val="10"/>
        <color theme="1"/>
        <rFont val="Aptos Narrow"/>
        <family val="2"/>
        <scheme val="minor"/>
      </rPr>
      <t>(COR AZUL)</t>
    </r>
  </si>
  <si>
    <t>12/11/2025
a
16/11/2025</t>
  </si>
  <si>
    <t>PELÍCULAS SEPARADAS
FALTA FAZER RECIBO E ENTREGAR</t>
  </si>
  <si>
    <r>
      <t xml:space="preserve">Dia Mundial do Diabetes
</t>
    </r>
    <r>
      <rPr>
        <b/>
        <sz val="10"/>
        <color theme="1"/>
        <rFont val="Aptos Narrow"/>
        <family val="2"/>
        <scheme val="minor"/>
      </rPr>
      <t>(COR AZUL)</t>
    </r>
  </si>
  <si>
    <t>13/11/2025
a
14/11/2025</t>
  </si>
  <si>
    <t>00200.016965/2025-24</t>
  </si>
  <si>
    <t>SIM
00100.174325/2025-66</t>
  </si>
  <si>
    <r>
      <t xml:space="preserve">Campanha 24 horas pelo diabetes
</t>
    </r>
    <r>
      <rPr>
        <b/>
        <sz val="10"/>
        <color theme="1"/>
        <rFont val="Aptos Narrow"/>
        <family val="2"/>
        <scheme val="minor"/>
      </rPr>
      <t>(COR AZUL)</t>
    </r>
  </si>
  <si>
    <t>14/11/2025
a
15/11/2025</t>
  </si>
  <si>
    <t>00200.018619/2025-81</t>
  </si>
  <si>
    <t>SIM
00100.187199/2025-18</t>
  </si>
  <si>
    <r>
      <t xml:space="preserve">Dia Mundial do Diabetes Mellitus 
</t>
    </r>
    <r>
      <rPr>
        <b/>
        <sz val="10"/>
        <color theme="1"/>
        <rFont val="Aptos Narrow"/>
        <family val="2"/>
        <scheme val="minor"/>
      </rPr>
      <t>(COR AZUL)</t>
    </r>
  </si>
  <si>
    <r>
      <t xml:space="preserve">Deputado Federal Dr. Zacharuas Calil
</t>
    </r>
    <r>
      <rPr>
        <sz val="10"/>
        <color theme="1"/>
        <rFont val="Aptos Narrow"/>
        <family val="2"/>
        <scheme val="minor"/>
      </rPr>
      <t>Contato: (61) 3215-5616</t>
    </r>
  </si>
  <si>
    <t>00200.016841/2025-49</t>
  </si>
  <si>
    <t>SIM
00100.173441/2025-68</t>
  </si>
  <si>
    <r>
      <t xml:space="preserve">Campanha Novembrinho Azul – Prevenção e Vacinação contra o HPV
</t>
    </r>
    <r>
      <rPr>
        <b/>
        <sz val="10"/>
        <color theme="1"/>
        <rFont val="Aptos Narrow"/>
        <family val="2"/>
        <scheme val="minor"/>
      </rPr>
      <t>(COR AZUL)</t>
    </r>
  </si>
  <si>
    <t>15/11/2025
a
16/11/2025</t>
  </si>
  <si>
    <r>
      <t xml:space="preserve">Dia Mundial da Ação de Erradicação do Câncer de Colo de Útero
</t>
    </r>
    <r>
      <rPr>
        <b/>
        <sz val="10"/>
        <color theme="1"/>
        <rFont val="Aptos Narrow"/>
        <family val="2"/>
        <scheme val="minor"/>
      </rPr>
      <t>(COR AZUL)</t>
    </r>
  </si>
  <si>
    <r>
      <t xml:space="preserve">Mês Internacional de Sensibilização para a Prematuridade
</t>
    </r>
    <r>
      <rPr>
        <b/>
        <sz val="10"/>
        <color theme="1"/>
        <rFont val="Aptos Narrow"/>
        <family val="2"/>
        <scheme val="minor"/>
      </rPr>
      <t>(COR ROXA)</t>
    </r>
  </si>
  <si>
    <r>
      <t xml:space="preserve">Dia Mundial da Prematuridade
</t>
    </r>
    <r>
      <rPr>
        <b/>
        <sz val="10"/>
        <color theme="1"/>
        <rFont val="Aptos Narrow"/>
        <family val="2"/>
        <scheme val="minor"/>
      </rPr>
      <t>(COR ROXA)</t>
    </r>
  </si>
  <si>
    <t>17/11/2025
a
18/11/2025</t>
  </si>
  <si>
    <r>
      <rPr>
        <b/>
        <sz val="10"/>
        <color theme="1"/>
        <rFont val="Aptos Narrow"/>
        <family val="2"/>
        <scheme val="minor"/>
      </rPr>
      <t>Senadora Dra. Eudócia</t>
    </r>
    <r>
      <rPr>
        <sz val="10"/>
        <color theme="1"/>
        <rFont val="Aptos Narrow"/>
        <family val="2"/>
        <scheme val="minor"/>
      </rPr>
      <t xml:space="preserve">
Contato: 6083</t>
    </r>
  </si>
  <si>
    <t>00200.016997/2025-20</t>
  </si>
  <si>
    <t>SIM
 00100.174889/2025-07</t>
  </si>
  <si>
    <r>
      <t xml:space="preserve">Novembro Roxo - Conscientização sobre a Prematuridade
</t>
    </r>
    <r>
      <rPr>
        <b/>
        <sz val="10"/>
        <color theme="1"/>
        <rFont val="Aptos Narrow"/>
        <family val="2"/>
        <scheme val="minor"/>
      </rPr>
      <t>(COR ROXA)</t>
    </r>
  </si>
  <si>
    <r>
      <t xml:space="preserve">Dia da Homeopatia
</t>
    </r>
    <r>
      <rPr>
        <b/>
        <sz val="10"/>
        <color theme="1"/>
        <rFont val="Aptos Narrow"/>
        <family val="2"/>
        <scheme val="minor"/>
      </rPr>
      <t>(COR VERDE)</t>
    </r>
  </si>
  <si>
    <t>PROJEÇÃO
Dia da Consciência Negra</t>
  </si>
  <si>
    <t>19/11/2025
(testes)
a
20/11/2025 
(19h às 23h)</t>
  </si>
  <si>
    <r>
      <t xml:space="preserve">Dia Nacional de Zumbi e da Consciência Negra /
 Dia Internacional da Eliminação da Violência Contra a Mulher /
 21 Dias de Ativismo pelo Fim da Violência Contra a Mulher
</t>
    </r>
    <r>
      <rPr>
        <b/>
        <sz val="10"/>
        <color theme="1"/>
        <rFont val="Aptos Narrow"/>
        <family val="2"/>
        <scheme val="minor"/>
      </rPr>
      <t>(COR LARANJA)</t>
    </r>
  </si>
  <si>
    <t>20/11/2025
a
24/11/2025</t>
  </si>
  <si>
    <r>
      <t xml:space="preserve"> 21 Dias de Ativismo pelo Fim da Violência Contra a Mulher / Dia Internacional Para a Eliminação da Violência Contra as Mulheres
</t>
    </r>
    <r>
      <rPr>
        <b/>
        <sz val="10"/>
        <color theme="1"/>
        <rFont val="Aptos Narrow"/>
        <family val="2"/>
        <scheme val="minor"/>
      </rPr>
      <t>(COR LARANJA)</t>
    </r>
  </si>
  <si>
    <t>Senador Romário
Contato: 3303-6519</t>
  </si>
  <si>
    <t>00200.017611/2025-05</t>
  </si>
  <si>
    <t>PROJEÇÃO
Dia dos Ostomizados</t>
  </si>
  <si>
    <t xml:space="preserve">
24/11/2025 
(18h às 01h)</t>
  </si>
  <si>
    <r>
      <t xml:space="preserve">Combate da Violência contra a Mulher
</t>
    </r>
    <r>
      <rPr>
        <b/>
        <sz val="10"/>
        <color theme="1"/>
        <rFont val="Aptos Narrow"/>
        <family val="2"/>
        <scheme val="minor"/>
      </rPr>
      <t>(COR ROXA)</t>
    </r>
  </si>
  <si>
    <t>25/11/2025
a
26/11/2025</t>
  </si>
  <si>
    <r>
      <t xml:space="preserve"> Dia Nacional de Luta contra o Câncer de Mama
</t>
    </r>
    <r>
      <rPr>
        <b/>
        <sz val="10"/>
        <color theme="1"/>
        <rFont val="Aptos Narrow"/>
        <family val="2"/>
        <scheme val="minor"/>
      </rPr>
      <t>(COR ROSA)</t>
    </r>
  </si>
  <si>
    <t>27/11/2025
a
28/11/2025</t>
  </si>
  <si>
    <r>
      <t xml:space="preserve">Dia Mundial de Luta contra a AIDS
</t>
    </r>
    <r>
      <rPr>
        <b/>
        <sz val="10"/>
        <color theme="1"/>
        <rFont val="Aptos Narrow"/>
        <family val="2"/>
        <scheme val="minor"/>
      </rPr>
      <t>(COR VERMELHA)</t>
    </r>
  </si>
  <si>
    <t>30/11/2025
a
01/12/2025</t>
  </si>
  <si>
    <r>
      <t xml:space="preserve">Dia da Pessoa com Deficiência
</t>
    </r>
    <r>
      <rPr>
        <b/>
        <sz val="10"/>
        <color theme="1"/>
        <rFont val="Aptos Narrow"/>
        <family val="2"/>
        <scheme val="minor"/>
      </rPr>
      <t>(COR VERDE)</t>
    </r>
  </si>
  <si>
    <r>
      <t xml:space="preserve">Dia Internacional da Pessoa com Deficiência e Dia da Acessibilidade
</t>
    </r>
    <r>
      <rPr>
        <b/>
        <sz val="10"/>
        <color theme="1"/>
        <rFont val="Aptos Narrow"/>
        <family val="2"/>
        <scheme val="minor"/>
      </rPr>
      <t>(COR ROXA)</t>
    </r>
  </si>
  <si>
    <t>03/12/2025
a
05/12/2025</t>
  </si>
  <si>
    <r>
      <t xml:space="preserve"> Dia Internacional dos Voluntários para o Desenvolvimento Econômico e Social 
</t>
    </r>
    <r>
      <rPr>
        <b/>
        <sz val="10"/>
        <color theme="1"/>
        <rFont val="Aptos Narrow"/>
        <family val="2"/>
        <scheme val="minor"/>
      </rPr>
      <t>(COR AZUL)</t>
    </r>
  </si>
  <si>
    <t>06/12/2025
a
07/12/2025</t>
  </si>
  <si>
    <r>
      <t xml:space="preserve"> Dia Nacional de Mobilização dos Homens pelo Fim da Violência contra as Mulheres - Campanha do Laço Branco 
</t>
    </r>
    <r>
      <rPr>
        <b/>
        <sz val="10"/>
        <color theme="1"/>
        <rFont val="Aptos Narrow"/>
        <family val="2"/>
        <scheme val="minor"/>
      </rPr>
      <t>(COR BRANCA)</t>
    </r>
  </si>
  <si>
    <t>08/12/2025
a
09/12/2025</t>
  </si>
  <si>
    <t>Secretaria de Relações Públicas
Acionamento do CT 236/2024
10ª/10</t>
  </si>
  <si>
    <t>PROJEÇÃO
21 Dias de Ativismo pelo fim da violência contra a mulher</t>
  </si>
  <si>
    <t>09/12/2025
(teste)
a
10/12/2025 
(19h às 23h)</t>
  </si>
  <si>
    <r>
      <t xml:space="preserve">Dia Internacional dos Direitos Humanos e encerramento da campanha: "21 dias de ativismo pelo fim da violência contra a mulher"
</t>
    </r>
    <r>
      <rPr>
        <b/>
        <sz val="10"/>
        <color theme="1"/>
        <rFont val="Aptos Narrow"/>
        <family val="2"/>
        <scheme val="minor"/>
      </rPr>
      <t>(COR LARANJA)</t>
    </r>
  </si>
  <si>
    <r>
      <t xml:space="preserve">Dia do Engenheiro
</t>
    </r>
    <r>
      <rPr>
        <b/>
        <sz val="10"/>
        <color theme="1"/>
        <rFont val="Aptos Narrow"/>
        <family val="2"/>
        <scheme val="minor"/>
      </rPr>
      <t>(COR AZUL)</t>
    </r>
  </si>
  <si>
    <t>11/12/2025
a
12/12/2025</t>
  </si>
  <si>
    <t>COR VERDADEIRA</t>
  </si>
  <si>
    <t>Link Processo</t>
  </si>
  <si>
    <t>Link Autorização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</si>
</sst>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rgb="FFFF0000"/>
      <name val="Colonna MT"/>
      <family val="5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10"/>
      <color rgb="FF00B050"/>
      <name val="Aptos Narrow"/>
      <family val="2"/>
      <scheme val="minor"/>
    </font>
    <font>
      <b/>
      <sz val="10"/>
      <name val="Calibri"/>
      <family val="2"/>
    </font>
    <font>
      <sz val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2"/>
      <name val="Colonna MT"/>
      <family val="5"/>
    </font>
    <font>
      <b/>
      <sz val="20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0"/>
      <color rgb="FF00B050"/>
      <name val="Calibri"/>
      <family val="2"/>
    </font>
    <font>
      <sz val="9"/>
      <color rgb="FFFFFF0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u/>
      <sz val="10"/>
      <color theme="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9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2"/>
      <color theme="0"/>
      <name val="Colonna MT"/>
      <family val="5"/>
    </font>
    <font>
      <b/>
      <sz val="10"/>
      <color rgb="FFC00000"/>
      <name val="Aptos Narrow"/>
      <family val="2"/>
      <scheme val="minor"/>
    </font>
    <font>
      <b/>
      <sz val="9"/>
      <color rgb="FF92D050"/>
      <name val="Aptos Narrow"/>
      <family val="2"/>
      <scheme val="minor"/>
    </font>
    <font>
      <sz val="9"/>
      <name val="Aptos Narrow"/>
      <family val="2"/>
      <scheme val="minor"/>
    </font>
    <font>
      <u/>
      <sz val="11"/>
      <color theme="4" tint="-0.249977111117893"/>
      <name val="Aptos Narrow"/>
      <family val="2"/>
      <scheme val="minor"/>
    </font>
    <font>
      <b/>
      <sz val="12"/>
      <color rgb="FFF6800A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9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27D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653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6800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theme="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52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2" fillId="4" borderId="2" xfId="1" applyFill="1" applyBorder="1" applyAlignment="1">
      <alignment horizontal="center" vertical="center" wrapText="1"/>
    </xf>
    <xf numFmtId="0" fontId="2" fillId="4" borderId="3" xfId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2" fillId="5" borderId="7" xfId="1" applyFill="1" applyBorder="1" applyAlignment="1">
      <alignment horizontal="center" vertical="center" wrapText="1"/>
    </xf>
    <xf numFmtId="0" fontId="12" fillId="5" borderId="10" xfId="1" applyFont="1" applyFill="1" applyBorder="1" applyAlignment="1">
      <alignment horizontal="center" vertical="center" wrapText="1"/>
    </xf>
    <xf numFmtId="0" fontId="12" fillId="4" borderId="5" xfId="1" applyFont="1" applyFill="1" applyBorder="1" applyAlignment="1">
      <alignment horizontal="center" vertical="center" wrapText="1"/>
    </xf>
    <xf numFmtId="0" fontId="2" fillId="4" borderId="0" xfId="1" applyFill="1" applyAlignment="1">
      <alignment horizontal="center" vertical="center" wrapText="1"/>
    </xf>
    <xf numFmtId="0" fontId="2" fillId="4" borderId="15" xfId="1" applyFill="1" applyBorder="1" applyAlignment="1">
      <alignment horizontal="center" vertical="center" wrapText="1"/>
    </xf>
    <xf numFmtId="0" fontId="12" fillId="7" borderId="5" xfId="1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wrapText="1"/>
    </xf>
    <xf numFmtId="0" fontId="6" fillId="9" borderId="1" xfId="0" applyFont="1" applyFill="1" applyBorder="1" applyAlignment="1">
      <alignment horizontal="center" vertical="top" wrapText="1"/>
    </xf>
    <xf numFmtId="0" fontId="2" fillId="4" borderId="16" xfId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top" wrapText="1"/>
    </xf>
    <xf numFmtId="0" fontId="2" fillId="0" borderId="15" xfId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wrapText="1"/>
    </xf>
    <xf numFmtId="0" fontId="2" fillId="0" borderId="0" xfId="1" applyFill="1" applyAlignment="1">
      <alignment horizontal="center" vertical="center" wrapText="1"/>
    </xf>
    <xf numFmtId="0" fontId="13" fillId="11" borderId="5" xfId="0" applyFont="1" applyFill="1" applyBorder="1" applyAlignment="1">
      <alignment horizontal="center" vertical="top" wrapText="1"/>
    </xf>
    <xf numFmtId="0" fontId="13" fillId="6" borderId="5" xfId="0" applyFont="1" applyFill="1" applyBorder="1" applyAlignment="1">
      <alignment horizontal="center" vertical="top" wrapText="1"/>
    </xf>
    <xf numFmtId="0" fontId="12" fillId="4" borderId="17" xfId="1" applyFont="1" applyFill="1" applyBorder="1" applyAlignment="1">
      <alignment horizontal="center" vertical="center" wrapText="1"/>
    </xf>
    <xf numFmtId="0" fontId="2" fillId="5" borderId="0" xfId="1" applyFill="1" applyAlignment="1">
      <alignment horizontal="center" vertical="center"/>
    </xf>
    <xf numFmtId="0" fontId="2" fillId="5" borderId="18" xfId="1" applyFill="1" applyBorder="1" applyAlignment="1">
      <alignment horizontal="center" vertical="center" wrapText="1"/>
    </xf>
    <xf numFmtId="0" fontId="2" fillId="5" borderId="6" xfId="1" applyFill="1" applyBorder="1" applyAlignment="1">
      <alignment horizontal="center" vertical="center" wrapText="1"/>
    </xf>
    <xf numFmtId="0" fontId="12" fillId="5" borderId="19" xfId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wrapText="1"/>
    </xf>
    <xf numFmtId="0" fontId="13" fillId="9" borderId="5" xfId="0" applyFont="1" applyFill="1" applyBorder="1" applyAlignment="1">
      <alignment horizontal="center" vertical="top" wrapText="1"/>
    </xf>
    <xf numFmtId="0" fontId="2" fillId="13" borderId="2" xfId="1" applyFill="1" applyBorder="1" applyAlignment="1">
      <alignment horizontal="center" vertical="center" wrapText="1"/>
    </xf>
    <xf numFmtId="0" fontId="12" fillId="13" borderId="17" xfId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top" wrapText="1"/>
    </xf>
    <xf numFmtId="0" fontId="2" fillId="5" borderId="0" xfId="1" applyFill="1" applyAlignment="1">
      <alignment horizontal="center" vertical="center" wrapText="1"/>
    </xf>
    <xf numFmtId="0" fontId="2" fillId="5" borderId="20" xfId="1" applyFill="1" applyBorder="1" applyAlignment="1">
      <alignment horizontal="center" vertical="center" wrapText="1"/>
    </xf>
    <xf numFmtId="0" fontId="2" fillId="2" borderId="0" xfId="1" applyFill="1" applyAlignment="1">
      <alignment horizontal="center" vertical="center" wrapText="1"/>
    </xf>
    <xf numFmtId="0" fontId="12" fillId="2" borderId="5" xfId="1" applyFont="1" applyFill="1" applyBorder="1" applyAlignment="1">
      <alignment horizontal="center" vertical="center" wrapText="1"/>
    </xf>
    <xf numFmtId="0" fontId="2" fillId="5" borderId="19" xfId="1" applyFill="1" applyBorder="1" applyAlignment="1">
      <alignment horizontal="center" vertical="center" wrapText="1"/>
    </xf>
    <xf numFmtId="3" fontId="2" fillId="5" borderId="0" xfId="1" applyNumberFormat="1" applyFill="1" applyAlignment="1">
      <alignment horizontal="center" vertical="center"/>
    </xf>
    <xf numFmtId="0" fontId="12" fillId="5" borderId="24" xfId="1" applyFont="1" applyFill="1" applyBorder="1" applyAlignment="1">
      <alignment horizontal="center" vertical="center" wrapText="1"/>
    </xf>
    <xf numFmtId="0" fontId="2" fillId="5" borderId="26" xfId="1" applyFill="1" applyBorder="1" applyAlignment="1">
      <alignment horizontal="center" vertical="center" wrapText="1"/>
    </xf>
    <xf numFmtId="0" fontId="2" fillId="5" borderId="27" xfId="1" applyFill="1" applyBorder="1" applyAlignment="1">
      <alignment horizontal="center" vertical="center" wrapText="1"/>
    </xf>
    <xf numFmtId="0" fontId="12" fillId="4" borderId="1" xfId="1" applyFont="1" applyFill="1" applyBorder="1" applyAlignment="1">
      <alignment horizontal="center" vertical="center" wrapText="1"/>
    </xf>
    <xf numFmtId="0" fontId="23" fillId="5" borderId="30" xfId="1" applyFont="1" applyFill="1" applyBorder="1" applyAlignment="1">
      <alignment horizontal="center" vertical="center" wrapText="1"/>
    </xf>
    <xf numFmtId="0" fontId="22" fillId="5" borderId="28" xfId="1" applyFont="1" applyFill="1" applyBorder="1" applyAlignment="1">
      <alignment horizontal="center" vertical="center" wrapText="1"/>
    </xf>
    <xf numFmtId="0" fontId="2" fillId="4" borderId="1" xfId="1" applyFill="1" applyBorder="1" applyAlignment="1">
      <alignment horizontal="center" vertical="center" wrapText="1"/>
    </xf>
    <xf numFmtId="0" fontId="12" fillId="7" borderId="1" xfId="1" applyFont="1" applyFill="1" applyBorder="1" applyAlignment="1">
      <alignment horizontal="center" vertical="center" wrapText="1"/>
    </xf>
    <xf numFmtId="0" fontId="12" fillId="7" borderId="3" xfId="1" applyFont="1" applyFill="1" applyBorder="1" applyAlignment="1">
      <alignment horizontal="center" vertical="center" wrapText="1"/>
    </xf>
    <xf numFmtId="0" fontId="24" fillId="0" borderId="1" xfId="1" applyFont="1" applyFill="1" applyBorder="1" applyAlignment="1">
      <alignment horizontal="center" vertical="center" wrapText="1"/>
    </xf>
    <xf numFmtId="0" fontId="2" fillId="5" borderId="36" xfId="1" applyFill="1" applyBorder="1" applyAlignment="1">
      <alignment horizontal="center" vertical="center" wrapText="1"/>
    </xf>
    <xf numFmtId="0" fontId="12" fillId="5" borderId="37" xfId="1" applyFont="1" applyFill="1" applyBorder="1" applyAlignment="1">
      <alignment horizontal="center" vertical="center" wrapText="1"/>
    </xf>
    <xf numFmtId="0" fontId="2" fillId="4" borderId="26" xfId="1" applyFill="1" applyBorder="1" applyAlignment="1">
      <alignment horizontal="center" vertical="center" wrapText="1"/>
    </xf>
    <xf numFmtId="0" fontId="2" fillId="5" borderId="29" xfId="1" applyFill="1" applyBorder="1" applyAlignment="1">
      <alignment horizontal="center" vertical="center" wrapText="1"/>
    </xf>
    <xf numFmtId="0" fontId="2" fillId="4" borderId="38" xfId="2" applyFill="1" applyBorder="1" applyAlignment="1">
      <alignment horizontal="center" wrapText="1"/>
    </xf>
    <xf numFmtId="0" fontId="12" fillId="7" borderId="41" xfId="1" applyFont="1" applyFill="1" applyBorder="1" applyAlignment="1">
      <alignment horizontal="center" vertical="center" wrapText="1"/>
    </xf>
    <xf numFmtId="0" fontId="12" fillId="7" borderId="43" xfId="1" applyFont="1" applyFill="1" applyBorder="1" applyAlignment="1">
      <alignment horizontal="center" vertical="center" wrapText="1"/>
    </xf>
    <xf numFmtId="0" fontId="2" fillId="5" borderId="0" xfId="1" applyFill="1" applyBorder="1" applyAlignment="1">
      <alignment horizontal="center" vertical="center" wrapText="1"/>
    </xf>
    <xf numFmtId="0" fontId="2" fillId="5" borderId="23" xfId="1" applyFill="1" applyBorder="1" applyAlignment="1">
      <alignment horizontal="center" vertical="center" wrapText="1"/>
    </xf>
    <xf numFmtId="0" fontId="12" fillId="5" borderId="9" xfId="1" applyFont="1" applyFill="1" applyBorder="1" applyAlignment="1">
      <alignment horizontal="center" vertical="center" wrapText="1"/>
    </xf>
    <xf numFmtId="0" fontId="12" fillId="7" borderId="17" xfId="1" applyFont="1" applyFill="1" applyBorder="1" applyAlignment="1">
      <alignment horizontal="center" vertical="center" wrapText="1"/>
    </xf>
    <xf numFmtId="0" fontId="2" fillId="5" borderId="44" xfId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wrapText="1"/>
    </xf>
    <xf numFmtId="0" fontId="2" fillId="0" borderId="0" xfId="1" applyFill="1" applyAlignment="1">
      <alignment horizontal="center" wrapText="1"/>
    </xf>
    <xf numFmtId="0" fontId="13" fillId="8" borderId="3" xfId="0" applyFont="1" applyFill="1" applyBorder="1" applyAlignment="1">
      <alignment horizontal="center" vertical="top" wrapText="1"/>
    </xf>
    <xf numFmtId="0" fontId="12" fillId="5" borderId="34" xfId="1" applyFont="1" applyFill="1" applyBorder="1" applyAlignment="1">
      <alignment horizontal="center" vertical="center" wrapText="1"/>
    </xf>
    <xf numFmtId="0" fontId="8" fillId="6" borderId="9" xfId="0" applyFont="1" applyFill="1" applyBorder="1" applyAlignment="1">
      <alignment horizontal="center" vertical="center" wrapText="1"/>
    </xf>
    <xf numFmtId="0" fontId="2" fillId="4" borderId="6" xfId="1" applyFill="1" applyBorder="1" applyAlignment="1">
      <alignment horizontal="center" vertical="center" wrapText="1"/>
    </xf>
    <xf numFmtId="0" fontId="13" fillId="11" borderId="3" xfId="0" applyFont="1" applyFill="1" applyBorder="1" applyAlignment="1">
      <alignment horizontal="center" wrapText="1"/>
    </xf>
    <xf numFmtId="0" fontId="2" fillId="0" borderId="0" xfId="1" applyAlignment="1">
      <alignment horizontal="center" wrapText="1"/>
    </xf>
    <xf numFmtId="0" fontId="2" fillId="0" borderId="0" xfId="1" applyAlignment="1">
      <alignment horizontal="center" vertical="center" wrapText="1"/>
    </xf>
    <xf numFmtId="14" fontId="6" fillId="4" borderId="3" xfId="0" applyNumberFormat="1" applyFont="1" applyFill="1" applyBorder="1" applyAlignment="1">
      <alignment horizontal="center" vertical="center" wrapText="1"/>
    </xf>
    <xf numFmtId="0" fontId="2" fillId="0" borderId="2" xfId="1" applyFill="1" applyBorder="1" applyAlignment="1">
      <alignment horizontal="center" vertical="center" wrapText="1"/>
    </xf>
    <xf numFmtId="0" fontId="12" fillId="5" borderId="28" xfId="1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wrapText="1"/>
    </xf>
    <xf numFmtId="0" fontId="6" fillId="11" borderId="3" xfId="0" applyFont="1" applyFill="1" applyBorder="1" applyAlignment="1">
      <alignment horizontal="center" vertical="top" wrapText="1"/>
    </xf>
    <xf numFmtId="0" fontId="2" fillId="0" borderId="2" xfId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wrapText="1"/>
    </xf>
    <xf numFmtId="0" fontId="2" fillId="0" borderId="7" xfId="1" applyFill="1" applyBorder="1" applyAlignment="1">
      <alignment horizontal="center" vertical="center" wrapText="1"/>
    </xf>
    <xf numFmtId="0" fontId="2" fillId="5" borderId="9" xfId="1" applyFill="1" applyBorder="1" applyAlignment="1">
      <alignment horizontal="center" vertical="center" wrapText="1"/>
    </xf>
    <xf numFmtId="0" fontId="12" fillId="5" borderId="22" xfId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12" fillId="4" borderId="13" xfId="1" applyFont="1" applyFill="1" applyBorder="1" applyAlignment="1">
      <alignment horizontal="center" vertical="center" wrapText="1"/>
    </xf>
    <xf numFmtId="0" fontId="2" fillId="5" borderId="48" xfId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12" fillId="5" borderId="44" xfId="1" applyFont="1" applyFill="1" applyBorder="1" applyAlignment="1">
      <alignment horizontal="center" vertical="center" wrapText="1"/>
    </xf>
    <xf numFmtId="0" fontId="34" fillId="5" borderId="26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2" fillId="5" borderId="47" xfId="1" applyFill="1" applyBorder="1" applyAlignment="1">
      <alignment horizontal="center" vertical="center" wrapText="1"/>
    </xf>
    <xf numFmtId="0" fontId="22" fillId="6" borderId="0" xfId="0" applyFont="1" applyFill="1" applyAlignment="1">
      <alignment horizontal="center" wrapText="1"/>
    </xf>
    <xf numFmtId="0" fontId="15" fillId="0" borderId="13" xfId="0" applyFont="1" applyBorder="1" applyAlignment="1">
      <alignment horizontal="center" vertical="top" wrapText="1"/>
    </xf>
    <xf numFmtId="0" fontId="2" fillId="0" borderId="3" xfId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vertical="center" wrapText="1"/>
    </xf>
    <xf numFmtId="0" fontId="2" fillId="5" borderId="52" xfId="1" applyFill="1" applyBorder="1" applyAlignment="1">
      <alignment horizontal="center" vertical="center" wrapText="1"/>
    </xf>
    <xf numFmtId="0" fontId="0" fillId="0" borderId="1" xfId="0" applyBorder="1"/>
    <xf numFmtId="0" fontId="4" fillId="4" borderId="2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15" fillId="15" borderId="31" xfId="0" applyFont="1" applyFill="1" applyBorder="1" applyAlignment="1">
      <alignment horizontal="center" vertical="center" wrapText="1"/>
    </xf>
    <xf numFmtId="0" fontId="15" fillId="15" borderId="14" xfId="0" applyFont="1" applyFill="1" applyBorder="1" applyAlignment="1">
      <alignment horizontal="center" vertical="center" wrapText="1"/>
    </xf>
    <xf numFmtId="0" fontId="4" fillId="20" borderId="1" xfId="0" applyFont="1" applyFill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14" fontId="7" fillId="4" borderId="1" xfId="0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 wrapText="1"/>
    </xf>
    <xf numFmtId="0" fontId="4" fillId="15" borderId="5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14" fontId="7" fillId="4" borderId="2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 wrapText="1"/>
    </xf>
    <xf numFmtId="0" fontId="7" fillId="4" borderId="14" xfId="0" applyFont="1" applyFill="1" applyBorder="1" applyAlignment="1">
      <alignment horizontal="center" vertical="center" wrapText="1"/>
    </xf>
    <xf numFmtId="0" fontId="8" fillId="5" borderId="26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14" fontId="9" fillId="5" borderId="26" xfId="0" applyNumberFormat="1" applyFont="1" applyFill="1" applyBorder="1" applyAlignment="1">
      <alignment horizontal="center" vertical="center"/>
    </xf>
    <xf numFmtId="14" fontId="9" fillId="5" borderId="8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8" xfId="0" applyFill="1" applyBorder="1"/>
    <xf numFmtId="0" fontId="12" fillId="5" borderId="26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9" fillId="5" borderId="33" xfId="0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 wrapText="1"/>
    </xf>
    <xf numFmtId="14" fontId="10" fillId="5" borderId="9" xfId="0" applyNumberFormat="1" applyFont="1" applyFill="1" applyBorder="1" applyAlignment="1">
      <alignment horizontal="center" vertical="center" wrapText="1"/>
    </xf>
    <xf numFmtId="14" fontId="10" fillId="5" borderId="11" xfId="0" applyNumberFormat="1" applyFont="1" applyFill="1" applyBorder="1" applyAlignment="1">
      <alignment horizontal="center" vertical="center" wrapText="1"/>
    </xf>
    <xf numFmtId="0" fontId="0" fillId="5" borderId="9" xfId="0" applyFill="1" applyBorder="1"/>
    <xf numFmtId="0" fontId="11" fillId="5" borderId="44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14" fontId="5" fillId="0" borderId="3" xfId="0" applyNumberFormat="1" applyFont="1" applyBorder="1" applyAlignment="1">
      <alignment horizontal="center" vertical="center"/>
    </xf>
    <xf numFmtId="0" fontId="2" fillId="0" borderId="2" xfId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7" fillId="4" borderId="2" xfId="0" applyNumberFormat="1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center" wrapText="1"/>
    </xf>
    <xf numFmtId="0" fontId="2" fillId="0" borderId="5" xfId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14" fontId="10" fillId="5" borderId="6" xfId="0" applyNumberFormat="1" applyFont="1" applyFill="1" applyBorder="1" applyAlignment="1">
      <alignment horizontal="center" vertical="center" wrapText="1"/>
    </xf>
    <xf numFmtId="14" fontId="10" fillId="5" borderId="8" xfId="0" applyNumberFormat="1" applyFont="1" applyFill="1" applyBorder="1" applyAlignment="1">
      <alignment horizontal="center" vertical="center" wrapText="1"/>
    </xf>
    <xf numFmtId="0" fontId="0" fillId="5" borderId="6" xfId="0" applyFill="1" applyBorder="1"/>
    <xf numFmtId="0" fontId="11" fillId="5" borderId="18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14" fontId="9" fillId="5" borderId="6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 wrapText="1"/>
    </xf>
    <xf numFmtId="0" fontId="2" fillId="5" borderId="6" xfId="1" applyFill="1" applyBorder="1" applyAlignment="1">
      <alignment horizontal="center" vertical="center"/>
    </xf>
    <xf numFmtId="0" fontId="2" fillId="5" borderId="8" xfId="1" applyFill="1" applyBorder="1" applyAlignment="1">
      <alignment horizontal="center" vertical="center"/>
    </xf>
    <xf numFmtId="0" fontId="37" fillId="9" borderId="2" xfId="0" applyFont="1" applyFill="1" applyBorder="1" applyAlignment="1">
      <alignment horizontal="center" vertical="center" wrapText="1"/>
    </xf>
    <xf numFmtId="0" fontId="37" fillId="9" borderId="5" xfId="0" applyFont="1" applyFill="1" applyBorder="1" applyAlignment="1">
      <alignment horizontal="center" vertical="center" wrapText="1"/>
    </xf>
    <xf numFmtId="0" fontId="9" fillId="5" borderId="9" xfId="0" applyFont="1" applyFill="1" applyBorder="1" applyAlignment="1">
      <alignment horizontal="center" vertical="center" wrapText="1"/>
    </xf>
    <xf numFmtId="0" fontId="4" fillId="15" borderId="3" xfId="0" applyFont="1" applyFill="1" applyBorder="1" applyAlignment="1">
      <alignment horizontal="center" vertical="center" wrapText="1"/>
    </xf>
    <xf numFmtId="14" fontId="7" fillId="4" borderId="3" xfId="0" applyNumberFormat="1" applyFont="1" applyFill="1" applyBorder="1" applyAlignment="1">
      <alignment horizontal="center" vertical="center" wrapText="1"/>
    </xf>
    <xf numFmtId="14" fontId="7" fillId="4" borderId="5" xfId="0" applyNumberFormat="1" applyFont="1" applyFill="1" applyBorder="1" applyAlignment="1">
      <alignment horizontal="center" vertical="center" wrapText="1"/>
    </xf>
    <xf numFmtId="0" fontId="15" fillId="15" borderId="40" xfId="0" applyFont="1" applyFill="1" applyBorder="1" applyAlignment="1">
      <alignment horizontal="center" vertical="center" wrapText="1"/>
    </xf>
    <xf numFmtId="0" fontId="6" fillId="15" borderId="31" xfId="0" applyFont="1" applyFill="1" applyBorder="1" applyAlignment="1">
      <alignment horizontal="center" vertical="center" wrapText="1"/>
    </xf>
    <xf numFmtId="0" fontId="6" fillId="15" borderId="40" xfId="0" applyFont="1" applyFill="1" applyBorder="1" applyAlignment="1">
      <alignment horizontal="center" vertical="center" wrapText="1"/>
    </xf>
    <xf numFmtId="0" fontId="6" fillId="15" borderId="14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2" fillId="0" borderId="2" xfId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14" fontId="9" fillId="5" borderId="11" xfId="0" applyNumberFormat="1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 wrapText="1"/>
    </xf>
    <xf numFmtId="0" fontId="2" fillId="5" borderId="26" xfId="1" applyFill="1" applyBorder="1" applyAlignment="1">
      <alignment horizontal="center" vertical="center"/>
    </xf>
    <xf numFmtId="0" fontId="2" fillId="5" borderId="11" xfId="1" applyFill="1" applyBorder="1" applyAlignment="1">
      <alignment horizontal="center" vertical="center"/>
    </xf>
    <xf numFmtId="0" fontId="12" fillId="5" borderId="11" xfId="1" applyFont="1" applyFill="1" applyBorder="1" applyAlignment="1">
      <alignment horizontal="center" vertical="center" wrapText="1"/>
    </xf>
    <xf numFmtId="14" fontId="10" fillId="5" borderId="26" xfId="0" applyNumberFormat="1" applyFont="1" applyFill="1" applyBorder="1" applyAlignment="1">
      <alignment horizontal="center" vertical="center" wrapText="1"/>
    </xf>
    <xf numFmtId="0" fontId="0" fillId="5" borderId="11" xfId="0" applyFill="1" applyBorder="1"/>
    <xf numFmtId="0" fontId="11" fillId="5" borderId="29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5" borderId="6" xfId="1" applyFont="1" applyFill="1" applyBorder="1" applyAlignment="1">
      <alignment horizontal="center" vertical="center" wrapText="1"/>
    </xf>
    <xf numFmtId="0" fontId="9" fillId="5" borderId="51" xfId="0" applyFont="1" applyFill="1" applyBorder="1" applyAlignment="1">
      <alignment horizontal="center" vertical="center" wrapText="1"/>
    </xf>
    <xf numFmtId="0" fontId="9" fillId="5" borderId="35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15" fillId="4" borderId="40" xfId="0" applyFont="1" applyFill="1" applyBorder="1" applyAlignment="1">
      <alignment horizontal="center" vertical="center" wrapText="1"/>
    </xf>
    <xf numFmtId="0" fontId="8" fillId="3" borderId="32" xfId="0" applyFont="1" applyFill="1" applyBorder="1" applyAlignment="1">
      <alignment horizontal="center" vertical="center" wrapText="1"/>
    </xf>
    <xf numFmtId="0" fontId="8" fillId="3" borderId="49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6" fillId="4" borderId="31" xfId="0" applyFont="1" applyFill="1" applyBorder="1" applyAlignment="1">
      <alignment horizontal="center" vertical="center" wrapText="1"/>
    </xf>
    <xf numFmtId="0" fontId="6" fillId="4" borderId="4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2" fillId="0" borderId="3" xfId="1" applyFill="1" applyBorder="1" applyAlignment="1">
      <alignment horizontal="center" vertical="center"/>
    </xf>
    <xf numFmtId="0" fontId="2" fillId="0" borderId="5" xfId="1" applyFill="1" applyBorder="1" applyAlignment="1">
      <alignment horizontal="center" vertical="center"/>
    </xf>
    <xf numFmtId="0" fontId="36" fillId="0" borderId="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35" fillId="18" borderId="1" xfId="0" applyFont="1" applyFill="1" applyBorder="1" applyAlignment="1">
      <alignment horizontal="center" vertical="center" wrapText="1"/>
    </xf>
    <xf numFmtId="0" fontId="2" fillId="0" borderId="2" xfId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14" fontId="10" fillId="0" borderId="2" xfId="0" applyNumberFormat="1" applyFont="1" applyBorder="1" applyAlignment="1">
      <alignment horizontal="center" vertical="center" wrapText="1"/>
    </xf>
    <xf numFmtId="14" fontId="10" fillId="0" borderId="5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15" fillId="15" borderId="12" xfId="0" applyFont="1" applyFill="1" applyBorder="1" applyAlignment="1">
      <alignment horizontal="center" vertical="center" wrapText="1"/>
    </xf>
    <xf numFmtId="14" fontId="9" fillId="5" borderId="29" xfId="0" applyNumberFormat="1" applyFont="1" applyFill="1" applyBorder="1" applyAlignment="1">
      <alignment horizontal="center" vertical="center"/>
    </xf>
    <xf numFmtId="14" fontId="9" fillId="5" borderId="19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4" fontId="10" fillId="5" borderId="29" xfId="0" applyNumberFormat="1" applyFont="1" applyFill="1" applyBorder="1" applyAlignment="1">
      <alignment horizontal="center" vertical="center" wrapText="1"/>
    </xf>
    <xf numFmtId="14" fontId="10" fillId="5" borderId="19" xfId="0" applyNumberFormat="1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14" fontId="9" fillId="5" borderId="9" xfId="0" applyNumberFormat="1" applyFont="1" applyFill="1" applyBorder="1" applyAlignment="1">
      <alignment horizontal="center" vertical="center"/>
    </xf>
    <xf numFmtId="0" fontId="2" fillId="5" borderId="9" xfId="1" applyFill="1" applyBorder="1" applyAlignment="1">
      <alignment horizontal="center" vertical="center"/>
    </xf>
    <xf numFmtId="0" fontId="2" fillId="5" borderId="18" xfId="1" applyFill="1" applyBorder="1" applyAlignment="1">
      <alignment horizontal="center" vertical="center" wrapText="1"/>
    </xf>
    <xf numFmtId="0" fontId="2" fillId="5" borderId="20" xfId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8" fillId="18" borderId="32" xfId="0" applyFont="1" applyFill="1" applyBorder="1" applyAlignment="1">
      <alignment horizontal="center" vertical="center" wrapText="1"/>
    </xf>
    <xf numFmtId="0" fontId="8" fillId="18" borderId="49" xfId="0" applyFont="1" applyFill="1" applyBorder="1" applyAlignment="1">
      <alignment horizontal="center" vertical="center" wrapText="1"/>
    </xf>
    <xf numFmtId="0" fontId="8" fillId="18" borderId="13" xfId="0" applyFont="1" applyFill="1" applyBorder="1" applyAlignment="1">
      <alignment horizontal="center" vertical="center" wrapText="1"/>
    </xf>
    <xf numFmtId="0" fontId="33" fillId="4" borderId="2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13" xfId="0" applyFont="1" applyFill="1" applyBorder="1" applyAlignment="1">
      <alignment horizontal="center" vertical="center" wrapText="1"/>
    </xf>
    <xf numFmtId="0" fontId="0" fillId="5" borderId="44" xfId="0" applyFill="1" applyBorder="1" applyAlignment="1">
      <alignment horizontal="center"/>
    </xf>
    <xf numFmtId="14" fontId="9" fillId="5" borderId="44" xfId="0" applyNumberFormat="1" applyFont="1" applyFill="1" applyBorder="1" applyAlignment="1">
      <alignment horizontal="center" vertical="center"/>
    </xf>
    <xf numFmtId="0" fontId="9" fillId="5" borderId="44" xfId="0" applyFont="1" applyFill="1" applyBorder="1" applyAlignment="1">
      <alignment horizontal="center" vertical="center" wrapText="1"/>
    </xf>
    <xf numFmtId="0" fontId="2" fillId="5" borderId="20" xfId="1" applyFill="1" applyBorder="1" applyAlignment="1">
      <alignment horizontal="center" vertical="center"/>
    </xf>
    <xf numFmtId="14" fontId="10" fillId="5" borderId="44" xfId="0" applyNumberFormat="1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8" fillId="19" borderId="32" xfId="0" applyFont="1" applyFill="1" applyBorder="1" applyAlignment="1">
      <alignment horizontal="center" vertical="center" wrapText="1"/>
    </xf>
    <xf numFmtId="0" fontId="8" fillId="19" borderId="49" xfId="0" applyFont="1" applyFill="1" applyBorder="1" applyAlignment="1">
      <alignment horizontal="center" vertical="center" wrapText="1"/>
    </xf>
    <xf numFmtId="0" fontId="8" fillId="19" borderId="50" xfId="0" applyFont="1" applyFill="1" applyBorder="1" applyAlignment="1">
      <alignment horizontal="center" vertical="center" wrapText="1"/>
    </xf>
    <xf numFmtId="0" fontId="8" fillId="19" borderId="1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4" fontId="10" fillId="4" borderId="2" xfId="0" applyNumberFormat="1" applyFont="1" applyFill="1" applyBorder="1" applyAlignment="1">
      <alignment horizontal="center" vertical="center" wrapText="1"/>
    </xf>
    <xf numFmtId="14" fontId="10" fillId="4" borderId="3" xfId="0" applyNumberFormat="1" applyFont="1" applyFill="1" applyBorder="1" applyAlignment="1">
      <alignment horizontal="center" vertical="center" wrapText="1"/>
    </xf>
    <xf numFmtId="14" fontId="10" fillId="4" borderId="5" xfId="0" applyNumberFormat="1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28" fillId="0" borderId="18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 wrapText="1"/>
    </xf>
    <xf numFmtId="0" fontId="2" fillId="5" borderId="29" xfId="1" applyFill="1" applyBorder="1" applyAlignment="1">
      <alignment horizontal="center" vertical="center"/>
    </xf>
    <xf numFmtId="0" fontId="9" fillId="5" borderId="46" xfId="0" applyFont="1" applyFill="1" applyBorder="1" applyAlignment="1">
      <alignment horizontal="center" vertical="center" wrapText="1"/>
    </xf>
    <xf numFmtId="0" fontId="15" fillId="5" borderId="31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4" fillId="8" borderId="32" xfId="0" applyFont="1" applyFill="1" applyBorder="1" applyAlignment="1">
      <alignment horizontal="center" vertical="center" wrapText="1"/>
    </xf>
    <xf numFmtId="0" fontId="4" fillId="8" borderId="49" xfId="0" applyFont="1" applyFill="1" applyBorder="1" applyAlignment="1">
      <alignment horizontal="center" vertical="center" wrapText="1"/>
    </xf>
    <xf numFmtId="0" fontId="4" fillId="8" borderId="50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5" borderId="0" xfId="1" applyFill="1" applyAlignment="1">
      <alignment horizontal="center" vertical="center"/>
    </xf>
    <xf numFmtId="0" fontId="13" fillId="9" borderId="2" xfId="0" applyFont="1" applyFill="1" applyBorder="1" applyAlignment="1">
      <alignment horizontal="center" vertical="top" wrapText="1"/>
    </xf>
    <xf numFmtId="0" fontId="13" fillId="9" borderId="3" xfId="0" applyFont="1" applyFill="1" applyBorder="1" applyAlignment="1">
      <alignment horizontal="center" vertical="top" wrapText="1"/>
    </xf>
    <xf numFmtId="0" fontId="13" fillId="9" borderId="5" xfId="0" applyFont="1" applyFill="1" applyBorder="1" applyAlignment="1">
      <alignment horizontal="center" vertical="top" wrapText="1"/>
    </xf>
    <xf numFmtId="0" fontId="11" fillId="5" borderId="9" xfId="0" applyFont="1" applyFill="1" applyBorder="1" applyAlignment="1">
      <alignment horizontal="center" vertical="center" wrapText="1"/>
    </xf>
    <xf numFmtId="0" fontId="2" fillId="0" borderId="0" xfId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27" fillId="4" borderId="1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top" wrapText="1"/>
    </xf>
    <xf numFmtId="0" fontId="13" fillId="3" borderId="3" xfId="0" applyFont="1" applyFill="1" applyBorder="1" applyAlignment="1">
      <alignment horizontal="center" vertical="top" wrapText="1"/>
    </xf>
    <xf numFmtId="0" fontId="13" fillId="3" borderId="5" xfId="0" applyFont="1" applyFill="1" applyBorder="1" applyAlignment="1">
      <alignment horizontal="center" vertical="top" wrapText="1"/>
    </xf>
    <xf numFmtId="0" fontId="13" fillId="8" borderId="2" xfId="0" applyFont="1" applyFill="1" applyBorder="1" applyAlignment="1">
      <alignment horizontal="center" vertical="top" wrapText="1"/>
    </xf>
    <xf numFmtId="0" fontId="13" fillId="8" borderId="3" xfId="0" applyFont="1" applyFill="1" applyBorder="1" applyAlignment="1">
      <alignment horizontal="center" vertical="top" wrapText="1"/>
    </xf>
    <xf numFmtId="0" fontId="13" fillId="8" borderId="5" xfId="0" applyFont="1" applyFill="1" applyBorder="1" applyAlignment="1">
      <alignment horizontal="center" vertical="top" wrapText="1"/>
    </xf>
    <xf numFmtId="14" fontId="7" fillId="4" borderId="3" xfId="0" applyNumberFormat="1" applyFont="1" applyFill="1" applyBorder="1" applyAlignment="1">
      <alignment horizontal="center" vertical="center"/>
    </xf>
    <xf numFmtId="14" fontId="7" fillId="4" borderId="5" xfId="0" applyNumberFormat="1" applyFont="1" applyFill="1" applyBorder="1" applyAlignment="1">
      <alignment horizontal="center" vertical="center"/>
    </xf>
    <xf numFmtId="0" fontId="30" fillId="5" borderId="36" xfId="0" applyFont="1" applyFill="1" applyBorder="1" applyAlignment="1">
      <alignment horizontal="center" vertical="center" wrapText="1"/>
    </xf>
    <xf numFmtId="0" fontId="22" fillId="5" borderId="24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 wrapText="1"/>
    </xf>
    <xf numFmtId="0" fontId="30" fillId="5" borderId="12" xfId="0" applyFont="1" applyFill="1" applyBorder="1" applyAlignment="1">
      <alignment horizontal="center" vertical="center" wrapText="1"/>
    </xf>
    <xf numFmtId="14" fontId="21" fillId="5" borderId="22" xfId="0" applyNumberFormat="1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 wrapText="1"/>
    </xf>
    <xf numFmtId="0" fontId="21" fillId="5" borderId="22" xfId="0" applyFont="1" applyFill="1" applyBorder="1" applyAlignment="1">
      <alignment horizontal="center" vertical="center" wrapText="1"/>
    </xf>
    <xf numFmtId="0" fontId="2" fillId="5" borderId="48" xfId="1" applyFill="1" applyBorder="1" applyAlignment="1">
      <alignment horizontal="center" vertical="center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/>
    </xf>
    <xf numFmtId="14" fontId="7" fillId="5" borderId="22" xfId="0" applyNumberFormat="1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 wrapText="1"/>
    </xf>
    <xf numFmtId="0" fontId="7" fillId="9" borderId="14" xfId="0" applyFont="1" applyFill="1" applyBorder="1" applyAlignment="1">
      <alignment horizontal="center" vertical="center" wrapText="1"/>
    </xf>
    <xf numFmtId="0" fontId="2" fillId="5" borderId="22" xfId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4" fillId="19" borderId="1" xfId="0" applyFont="1" applyFill="1" applyBorder="1" applyAlignment="1">
      <alignment horizontal="center" vertical="center" wrapText="1"/>
    </xf>
    <xf numFmtId="0" fontId="12" fillId="9" borderId="1" xfId="1" applyFont="1" applyFill="1" applyBorder="1" applyAlignment="1">
      <alignment horizontal="center" vertical="center" wrapText="1"/>
    </xf>
    <xf numFmtId="14" fontId="7" fillId="4" borderId="1" xfId="0" applyNumberFormat="1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 wrapText="1"/>
    </xf>
    <xf numFmtId="14" fontId="6" fillId="4" borderId="5" xfId="0" applyNumberFormat="1" applyFont="1" applyFill="1" applyBorder="1" applyAlignment="1">
      <alignment horizontal="center" vertical="center" wrapText="1"/>
    </xf>
    <xf numFmtId="14" fontId="6" fillId="4" borderId="3" xfId="0" applyNumberFormat="1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4" fillId="17" borderId="5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14" fontId="6" fillId="4" borderId="3" xfId="0" applyNumberFormat="1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top" wrapText="1"/>
    </xf>
    <xf numFmtId="0" fontId="13" fillId="15" borderId="5" xfId="0" applyFont="1" applyFill="1" applyBorder="1" applyAlignment="1">
      <alignment horizontal="center" vertical="top" wrapText="1"/>
    </xf>
    <xf numFmtId="0" fontId="13" fillId="6" borderId="2" xfId="0" applyFont="1" applyFill="1" applyBorder="1" applyAlignment="1">
      <alignment horizontal="center" vertical="top" wrapText="1"/>
    </xf>
    <xf numFmtId="0" fontId="13" fillId="6" borderId="3" xfId="0" applyFont="1" applyFill="1" applyBorder="1" applyAlignment="1">
      <alignment horizontal="center" vertical="top" wrapText="1"/>
    </xf>
    <xf numFmtId="0" fontId="13" fillId="6" borderId="5" xfId="0" applyFont="1" applyFill="1" applyBorder="1" applyAlignment="1">
      <alignment horizontal="center" vertical="top" wrapText="1"/>
    </xf>
    <xf numFmtId="0" fontId="13" fillId="18" borderId="2" xfId="0" applyFont="1" applyFill="1" applyBorder="1" applyAlignment="1">
      <alignment horizontal="center" vertical="top" wrapText="1"/>
    </xf>
    <xf numFmtId="0" fontId="13" fillId="18" borderId="5" xfId="0" applyFont="1" applyFill="1" applyBorder="1" applyAlignment="1">
      <alignment horizontal="center" vertical="top" wrapText="1"/>
    </xf>
    <xf numFmtId="0" fontId="2" fillId="0" borderId="31" xfId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5" borderId="20" xfId="0" applyFont="1" applyFill="1" applyBorder="1" applyAlignment="1">
      <alignment horizontal="center" vertical="center" wrapText="1"/>
    </xf>
    <xf numFmtId="14" fontId="28" fillId="0" borderId="2" xfId="0" applyNumberFormat="1" applyFont="1" applyBorder="1" applyAlignment="1">
      <alignment horizontal="center" vertical="center"/>
    </xf>
    <xf numFmtId="14" fontId="28" fillId="0" borderId="5" xfId="0" applyNumberFormat="1" applyFont="1" applyBorder="1" applyAlignment="1">
      <alignment horizontal="center" vertical="center"/>
    </xf>
    <xf numFmtId="0" fontId="29" fillId="4" borderId="31" xfId="0" applyFont="1" applyFill="1" applyBorder="1" applyAlignment="1">
      <alignment horizontal="center" vertical="center" wrapText="1"/>
    </xf>
    <xf numFmtId="0" fontId="29" fillId="4" borderId="14" xfId="0" applyFont="1" applyFill="1" applyBorder="1" applyAlignment="1">
      <alignment horizontal="center" vertical="center" wrapText="1"/>
    </xf>
    <xf numFmtId="14" fontId="9" fillId="5" borderId="47" xfId="0" applyNumberFormat="1" applyFont="1" applyFill="1" applyBorder="1" applyAlignment="1">
      <alignment horizontal="center" vertical="center"/>
    </xf>
    <xf numFmtId="14" fontId="9" fillId="5" borderId="28" xfId="0" applyNumberFormat="1" applyFont="1" applyFill="1" applyBorder="1" applyAlignment="1">
      <alignment horizontal="center" vertical="center"/>
    </xf>
    <xf numFmtId="0" fontId="2" fillId="5" borderId="19" xfId="1" applyFill="1" applyBorder="1" applyAlignment="1">
      <alignment horizontal="center" vertical="center"/>
    </xf>
    <xf numFmtId="0" fontId="12" fillId="9" borderId="6" xfId="1" applyFont="1" applyFill="1" applyBorder="1" applyAlignment="1">
      <alignment horizontal="center" vertical="center" wrapText="1"/>
    </xf>
    <xf numFmtId="0" fontId="12" fillId="9" borderId="8" xfId="1" applyFont="1" applyFill="1" applyBorder="1" applyAlignment="1">
      <alignment horizontal="center" vertical="center" wrapText="1"/>
    </xf>
    <xf numFmtId="0" fontId="9" fillId="5" borderId="47" xfId="0" applyFont="1" applyFill="1" applyBorder="1" applyAlignment="1">
      <alignment horizontal="center" vertical="center" wrapText="1"/>
    </xf>
    <xf numFmtId="0" fontId="9" fillId="5" borderId="28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11" borderId="2" xfId="0" applyFont="1" applyFill="1" applyBorder="1" applyAlignment="1">
      <alignment horizontal="center" vertical="top" wrapText="1"/>
    </xf>
    <xf numFmtId="0" fontId="13" fillId="11" borderId="5" xfId="0" applyFont="1" applyFill="1" applyBorder="1" applyAlignment="1">
      <alignment horizontal="center" vertical="top" wrapText="1"/>
    </xf>
    <xf numFmtId="0" fontId="12" fillId="9" borderId="26" xfId="1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14" fontId="2" fillId="5" borderId="9" xfId="1" applyNumberFormat="1" applyFill="1" applyBorder="1" applyAlignment="1">
      <alignment horizontal="center" vertical="center"/>
    </xf>
    <xf numFmtId="14" fontId="2" fillId="5" borderId="8" xfId="1" applyNumberForma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top" wrapText="1"/>
    </xf>
    <xf numFmtId="0" fontId="2" fillId="0" borderId="1" xfId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top" wrapText="1"/>
    </xf>
    <xf numFmtId="0" fontId="2" fillId="0" borderId="31" xfId="2" applyBorder="1" applyAlignment="1">
      <alignment horizontal="center" vertical="center"/>
    </xf>
    <xf numFmtId="0" fontId="2" fillId="0" borderId="40" xfId="2" applyBorder="1" applyAlignment="1">
      <alignment horizontal="center" vertical="center"/>
    </xf>
    <xf numFmtId="0" fontId="25" fillId="0" borderId="39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2" fillId="0" borderId="14" xfId="1" applyBorder="1" applyAlignment="1">
      <alignment horizontal="center" vertical="center"/>
    </xf>
    <xf numFmtId="0" fontId="25" fillId="0" borderId="32" xfId="0" applyFont="1" applyBorder="1" applyAlignment="1">
      <alignment horizontal="center" vertical="center" wrapText="1"/>
    </xf>
    <xf numFmtId="0" fontId="21" fillId="5" borderId="6" xfId="0" applyFont="1" applyFill="1" applyBorder="1" applyAlignment="1">
      <alignment horizontal="center" vertical="center" wrapText="1"/>
    </xf>
    <xf numFmtId="0" fontId="21" fillId="5" borderId="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13" fillId="9" borderId="2" xfId="0" applyFont="1" applyFill="1" applyBorder="1" applyAlignment="1">
      <alignment horizontal="center" wrapText="1"/>
    </xf>
    <xf numFmtId="0" fontId="13" fillId="9" borderId="5" xfId="0" applyFont="1" applyFill="1" applyBorder="1" applyAlignment="1">
      <alignment horizontal="center" wrapText="1"/>
    </xf>
    <xf numFmtId="14" fontId="5" fillId="4" borderId="2" xfId="0" applyNumberFormat="1" applyFont="1" applyFill="1" applyBorder="1" applyAlignment="1">
      <alignment horizontal="center" vertical="center"/>
    </xf>
    <xf numFmtId="14" fontId="5" fillId="4" borderId="5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2" fillId="4" borderId="2" xfId="1" applyFill="1" applyBorder="1" applyAlignment="1">
      <alignment horizontal="center" vertical="center" wrapText="1"/>
    </xf>
    <xf numFmtId="0" fontId="2" fillId="4" borderId="5" xfId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13" fillId="17" borderId="2" xfId="0" applyFont="1" applyFill="1" applyBorder="1" applyAlignment="1">
      <alignment horizontal="center" vertical="top" wrapText="1"/>
    </xf>
    <xf numFmtId="0" fontId="13" fillId="17" borderId="5" xfId="0" applyFont="1" applyFill="1" applyBorder="1" applyAlignment="1">
      <alignment horizontal="center" vertical="top" wrapText="1"/>
    </xf>
    <xf numFmtId="0" fontId="13" fillId="8" borderId="7" xfId="0" applyFont="1" applyFill="1" applyBorder="1" applyAlignment="1">
      <alignment horizontal="center" vertical="top" wrapText="1"/>
    </xf>
    <xf numFmtId="0" fontId="13" fillId="8" borderId="0" xfId="0" applyFont="1" applyFill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1" fillId="5" borderId="24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2" fillId="5" borderId="26" xfId="1" applyFill="1" applyBorder="1" applyAlignment="1">
      <alignment horizontal="center" vertical="center" wrapText="1"/>
    </xf>
    <xf numFmtId="0" fontId="8" fillId="5" borderId="19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14" fontId="9" fillId="5" borderId="23" xfId="0" applyNumberFormat="1" applyFont="1" applyFill="1" applyBorder="1" applyAlignment="1">
      <alignment horizontal="center" vertical="center"/>
    </xf>
    <xf numFmtId="0" fontId="20" fillId="5" borderId="6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 wrapText="1"/>
    </xf>
    <xf numFmtId="14" fontId="10" fillId="5" borderId="25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13" fillId="16" borderId="1" xfId="0" applyFont="1" applyFill="1" applyBorder="1" applyAlignment="1">
      <alignment horizontal="center" vertical="top" wrapText="1"/>
    </xf>
    <xf numFmtId="0" fontId="2" fillId="0" borderId="12" xfId="1" applyBorder="1" applyAlignment="1">
      <alignment horizontal="center" vertical="center"/>
    </xf>
    <xf numFmtId="0" fontId="5" fillId="0" borderId="21" xfId="0" applyFont="1" applyBorder="1" applyAlignment="1">
      <alignment horizontal="center" vertical="center" wrapText="1"/>
    </xf>
    <xf numFmtId="0" fontId="19" fillId="11" borderId="2" xfId="0" applyFont="1" applyFill="1" applyBorder="1" applyAlignment="1">
      <alignment horizontal="center" vertical="top" wrapText="1"/>
    </xf>
    <xf numFmtId="0" fontId="19" fillId="11" borderId="5" xfId="0" applyFont="1" applyFill="1" applyBorder="1" applyAlignment="1">
      <alignment horizontal="center" vertical="top" wrapText="1"/>
    </xf>
    <xf numFmtId="0" fontId="19" fillId="8" borderId="2" xfId="0" applyFont="1" applyFill="1" applyBorder="1" applyAlignment="1">
      <alignment horizontal="center" vertical="top" wrapText="1"/>
    </xf>
    <xf numFmtId="0" fontId="19" fillId="8" borderId="3" xfId="0" applyFont="1" applyFill="1" applyBorder="1" applyAlignment="1">
      <alignment horizontal="center" vertical="top" wrapText="1"/>
    </xf>
    <xf numFmtId="0" fontId="19" fillId="8" borderId="5" xfId="0" applyFont="1" applyFill="1" applyBorder="1" applyAlignment="1">
      <alignment horizontal="center" vertical="top" wrapText="1"/>
    </xf>
    <xf numFmtId="14" fontId="5" fillId="2" borderId="2" xfId="0" applyNumberFormat="1" applyFont="1" applyFill="1" applyBorder="1" applyAlignment="1">
      <alignment horizontal="center" vertical="center"/>
    </xf>
    <xf numFmtId="14" fontId="5" fillId="2" borderId="5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2" fillId="2" borderId="2" xfId="1" applyFill="1" applyBorder="1" applyAlignment="1">
      <alignment horizontal="center" vertical="center" wrapText="1"/>
    </xf>
    <xf numFmtId="0" fontId="2" fillId="2" borderId="5" xfId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17" fillId="5" borderId="18" xfId="0" applyFont="1" applyFill="1" applyBorder="1" applyAlignment="1">
      <alignment horizontal="center" vertical="center" wrapText="1"/>
    </xf>
    <xf numFmtId="0" fontId="2" fillId="5" borderId="6" xfId="1" applyFill="1" applyBorder="1" applyAlignment="1">
      <alignment horizontal="center" vertical="center" wrapText="1"/>
    </xf>
    <xf numFmtId="0" fontId="2" fillId="5" borderId="8" xfId="1" applyFill="1" applyBorder="1" applyAlignment="1">
      <alignment horizontal="center" vertical="center" wrapText="1"/>
    </xf>
    <xf numFmtId="0" fontId="13" fillId="14" borderId="2" xfId="0" applyFont="1" applyFill="1" applyBorder="1" applyAlignment="1">
      <alignment horizontal="center" vertical="top" wrapText="1"/>
    </xf>
    <xf numFmtId="0" fontId="13" fillId="14" borderId="5" xfId="0" applyFont="1" applyFill="1" applyBorder="1" applyAlignment="1">
      <alignment horizontal="center" vertical="top" wrapText="1"/>
    </xf>
    <xf numFmtId="0" fontId="16" fillId="12" borderId="2" xfId="0" applyFont="1" applyFill="1" applyBorder="1" applyAlignment="1">
      <alignment horizontal="center" vertical="center" wrapText="1"/>
    </xf>
    <xf numFmtId="0" fontId="16" fillId="12" borderId="5" xfId="0" applyFont="1" applyFill="1" applyBorder="1" applyAlignment="1">
      <alignment horizontal="center" vertical="center" wrapText="1"/>
    </xf>
    <xf numFmtId="0" fontId="15" fillId="13" borderId="31" xfId="0" applyFont="1" applyFill="1" applyBorder="1" applyAlignment="1">
      <alignment horizontal="center" vertical="center" wrapText="1"/>
    </xf>
    <xf numFmtId="0" fontId="15" fillId="13" borderId="14" xfId="0" applyFont="1" applyFill="1" applyBorder="1" applyAlignment="1">
      <alignment horizontal="center" vertical="center" wrapText="1"/>
    </xf>
    <xf numFmtId="0" fontId="13" fillId="12" borderId="2" xfId="0" applyFont="1" applyFill="1" applyBorder="1" applyAlignment="1">
      <alignment horizontal="center" vertical="center" wrapText="1"/>
    </xf>
    <xf numFmtId="0" fontId="13" fillId="12" borderId="5" xfId="0" applyFont="1" applyFill="1" applyBorder="1" applyAlignment="1">
      <alignment horizontal="center" vertical="center" wrapText="1"/>
    </xf>
    <xf numFmtId="14" fontId="14" fillId="12" borderId="2" xfId="0" applyNumberFormat="1" applyFont="1" applyFill="1" applyBorder="1" applyAlignment="1">
      <alignment horizontal="center" vertical="center"/>
    </xf>
    <xf numFmtId="14" fontId="14" fillId="12" borderId="5" xfId="0" applyNumberFormat="1" applyFont="1" applyFill="1" applyBorder="1" applyAlignment="1">
      <alignment horizontal="center" vertical="center"/>
    </xf>
    <xf numFmtId="0" fontId="14" fillId="12" borderId="2" xfId="0" applyFont="1" applyFill="1" applyBorder="1" applyAlignment="1">
      <alignment horizontal="center" vertical="center" wrapText="1"/>
    </xf>
    <xf numFmtId="0" fontId="14" fillId="12" borderId="5" xfId="0" applyFont="1" applyFill="1" applyBorder="1" applyAlignment="1">
      <alignment horizontal="center" vertical="center" wrapText="1"/>
    </xf>
    <xf numFmtId="0" fontId="2" fillId="12" borderId="2" xfId="1" applyFill="1" applyBorder="1" applyAlignment="1">
      <alignment horizontal="center" vertical="center"/>
    </xf>
    <xf numFmtId="0" fontId="2" fillId="12" borderId="5" xfId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5" xfId="0" applyFont="1" applyFill="1" applyBorder="1" applyAlignment="1">
      <alignment horizontal="center" vertical="center" wrapText="1"/>
    </xf>
    <xf numFmtId="0" fontId="12" fillId="4" borderId="2" xfId="1" applyFont="1" applyFill="1" applyBorder="1" applyAlignment="1">
      <alignment horizontal="center" vertical="center" wrapText="1"/>
    </xf>
    <xf numFmtId="0" fontId="12" fillId="4" borderId="5" xfId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2" fillId="4" borderId="4" xfId="1" applyFill="1" applyBorder="1" applyAlignment="1">
      <alignment horizontal="center" vertical="center" wrapText="1"/>
    </xf>
    <xf numFmtId="0" fontId="2" fillId="0" borderId="0" xfId="1"/>
    <xf numFmtId="0" fontId="2" fillId="4" borderId="53" xfId="1" applyFill="1" applyBorder="1" applyAlignment="1">
      <alignment horizontal="center" vertical="center" wrapText="1"/>
    </xf>
  </cellXfs>
  <cellStyles count="3">
    <cellStyle name="Hiperlink" xfId="1" builtinId="8"/>
    <cellStyle name="Hyperlink" xfId="2" xr:uid="{7E21FD83-A87F-4A9B-A150-D940D730E6C4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intra.senado.leg.br/sigad/novo/protocolo/impressao.asp?area=processo&amp;cod_protocolo=4252338&amp;cod_frente_verso=&amp;cod_juntada=&amp;txt_funcao=" TargetMode="External"/><Relationship Id="rId299" Type="http://schemas.openxmlformats.org/officeDocument/2006/relationships/hyperlink" Target="https://intra.senado.leg.br/sigad/novo/protocolo/impressao.asp?cod_protocolo=4465131&amp;area=processo" TargetMode="External"/><Relationship Id="rId21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63" Type="http://schemas.openxmlformats.org/officeDocument/2006/relationships/hyperlink" Target="https://intra.senado.leg.br/sigad/novo/protocolo/impressao.asp?cod_protocolo=4228774&amp;area=processo" TargetMode="External"/><Relationship Id="rId159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324" Type="http://schemas.openxmlformats.org/officeDocument/2006/relationships/hyperlink" Target="https://intra.senado.leg.br/sigad/novo/protocolo/impressao.asp?cod_protocolo=4491465&amp;area=processo" TargetMode="External"/><Relationship Id="rId366" Type="http://schemas.openxmlformats.org/officeDocument/2006/relationships/hyperlink" Target="https://intra.senado.leg.br/sigad/novo/protocolo/impressao.asp?cod_protocolo=4498200&amp;area=processo" TargetMode="External"/><Relationship Id="rId170" Type="http://schemas.openxmlformats.org/officeDocument/2006/relationships/hyperlink" Target="https://intra.senado.leg.br/sigad/novo/protocolo/impressao.asp?area=processo&amp;cod_protocolo=4270771&amp;cod_frente_verso=&amp;cod_juntada=&amp;txt_funcao=" TargetMode="External"/><Relationship Id="rId226" Type="http://schemas.openxmlformats.org/officeDocument/2006/relationships/hyperlink" Target="https://intra.senado.leg.br/sigad/novo/protocolo/impressao.asp?area=processo&amp;cod_protocolo=4369348&amp;cod_frente_verso=&amp;cod_juntada=&amp;txt_funcao=" TargetMode="External"/><Relationship Id="rId268" Type="http://schemas.openxmlformats.org/officeDocument/2006/relationships/hyperlink" Target="https://intra.senado.leg.br/sigad/visualizador/PdfJs/web/viewer.html?cod_protocolo=4424941&amp;cod_pagina=&amp;cod_usuario=82996&amp;cod_orgao=9694&amp;token=11B2QYPNV1CIBX6" TargetMode="External"/><Relationship Id="rId32" Type="http://schemas.openxmlformats.org/officeDocument/2006/relationships/hyperlink" Target="https://intra.senado.leg.br/sigad/novo/protocolo/impressao.asp?cod_protocolo=4226197&amp;area=processo" TargetMode="External"/><Relationship Id="rId74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28" Type="http://schemas.openxmlformats.org/officeDocument/2006/relationships/hyperlink" Target="https://intra.senado.leg.br/sigad/novo/protocolo/impressao.asp?area=processo&amp;cod_protocolo=4264211&amp;cod_frente_verso=&amp;cod_juntada=&amp;txt_funcao=" TargetMode="External"/><Relationship Id="rId335" Type="http://schemas.openxmlformats.org/officeDocument/2006/relationships/hyperlink" Target="https://intra.senado.leg.br/sigad/visualizador/PdfJs/web/viewer.html?cod_protocolo=4499674&amp;cod_pagina=&amp;cod_usuario=76880&amp;cod_orgao=9694&amp;token=LNJ8T2I36H28RWC" TargetMode="External"/><Relationship Id="rId5" Type="http://schemas.openxmlformats.org/officeDocument/2006/relationships/hyperlink" Target="https://intra.senado.leg.br/sigad/novo/protocolo/impressao.asp?cod_protocolo=4184491&amp;area=processo" TargetMode="External"/><Relationship Id="rId181" Type="http://schemas.openxmlformats.org/officeDocument/2006/relationships/hyperlink" Target="https://intra.senado.leg.br/sigad/novo/protocolo/impressao.asp?area=processo&amp;cod_protocolo=4279688&amp;cod_frente_verso=&amp;cod_juntada=&amp;txt_funcao=" TargetMode="External"/><Relationship Id="rId237" Type="http://schemas.openxmlformats.org/officeDocument/2006/relationships/hyperlink" Target="https://intra.senado.leg.br/sigad/novo/protocolo/impressao.asp?cod_protocolo=4333334&amp;area=documento" TargetMode="External"/><Relationship Id="rId279" Type="http://schemas.openxmlformats.org/officeDocument/2006/relationships/hyperlink" Target="https://intra.senado.leg.br/sigad/visualizador/PdfJs/web/viewer.html?cod_protocolo=4438810&amp;cod_pagina=&amp;cod_usuario=76880&amp;cod_orgao=9694&amp;token=6HH1HTUYTHYL6YC" TargetMode="External"/><Relationship Id="rId43" Type="http://schemas.openxmlformats.org/officeDocument/2006/relationships/hyperlink" Target="https://intra.senado.leg.br/sigad/novo/protocolo/impressao.asp?cod_protocolo=4227195" TargetMode="External"/><Relationship Id="rId139" Type="http://schemas.openxmlformats.org/officeDocument/2006/relationships/hyperlink" Target="https://intra.senado.leg.br/sigad/novo/protocolo/impressao.asp?cod_protocolo=4269985&amp;area=processo" TargetMode="External"/><Relationship Id="rId290" Type="http://schemas.openxmlformats.org/officeDocument/2006/relationships/hyperlink" Target="https://intra.senado.leg.br/sigad/visualizador/PdfJs/web/viewer.html?cod_protocolo=4443155&amp;cod_pagina=&amp;cod_usuario=76880&amp;cod_orgao=9694&amp;token=MLKKJNAW7X1653X" TargetMode="External"/><Relationship Id="rId304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346" Type="http://schemas.openxmlformats.org/officeDocument/2006/relationships/hyperlink" Target="https://intra.senado.leg.br/sigad/novo/protocolo/impressao.asp?area=processo&amp;cod_protocolo=4508786&amp;cod_frente_verso=&amp;cod_juntada=&amp;txt_funcao=" TargetMode="External"/><Relationship Id="rId85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50" Type="http://schemas.openxmlformats.org/officeDocument/2006/relationships/hyperlink" Target="https://intra.senado.leg.br/sigad/novo/protocolo/impressao.asp?cod_protocolo=4269985&amp;area=processo" TargetMode="External"/><Relationship Id="rId192" Type="http://schemas.openxmlformats.org/officeDocument/2006/relationships/hyperlink" Target="https://intra.senado.leg.br/sigad/novo/protocolo/impressao.asp?cod_protocolo=4321238&amp;area=processo" TargetMode="External"/><Relationship Id="rId206" Type="http://schemas.openxmlformats.org/officeDocument/2006/relationships/hyperlink" Target="https://intra.senado.leg.br/sigad/novo/protocolo/impressao.asp?area=processo&amp;cod_protocolo=4350235&amp;cod_frente_verso=&amp;cod_juntada=&amp;txt_funcao=" TargetMode="External"/><Relationship Id="rId248" Type="http://schemas.openxmlformats.org/officeDocument/2006/relationships/hyperlink" Target="https://intra.senado.leg.br/sigad/novo/protocolo/impressao.asp?area=processo&amp;cod_protocolo=4403997&amp;cod_frente_verso=&amp;cod_juntada=&amp;txt_funcao=" TargetMode="External"/><Relationship Id="rId12" Type="http://schemas.openxmlformats.org/officeDocument/2006/relationships/hyperlink" Target="https://intra.senado.leg.br/sigad/novo/protocolo/impressao.asp?cod_protocolo=4184491&amp;area=processo" TargetMode="External"/><Relationship Id="rId108" Type="http://schemas.openxmlformats.org/officeDocument/2006/relationships/hyperlink" Target="https://intra.senado.leg.br/sigad/novo/protocolo/impressao.asp?cod_protocolo=4244919&amp;area=documento" TargetMode="External"/><Relationship Id="rId315" Type="http://schemas.openxmlformats.org/officeDocument/2006/relationships/hyperlink" Target="https://intra.senado.leg.br/sigad/novo/protocolo/impressao.asp?area=processo&amp;cod_protocolo=4483965&amp;cod_frente_verso=&amp;cod_juntada=&amp;txt_funcao=" TargetMode="External"/><Relationship Id="rId357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54" Type="http://schemas.openxmlformats.org/officeDocument/2006/relationships/hyperlink" Target="https://intra.senado.leg.br/sigad/novo/protocolo/impressao.asp?cod_protocolo=4227195" TargetMode="External"/><Relationship Id="rId96" Type="http://schemas.openxmlformats.org/officeDocument/2006/relationships/hyperlink" Target="https://intra.senado.leg.br/sigad/novo/protocolo/impressao.asp?cod_protocolo=4241698&amp;area=documento" TargetMode="External"/><Relationship Id="rId161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217" Type="http://schemas.openxmlformats.org/officeDocument/2006/relationships/hyperlink" Target="https://intra.senado.leg.br/sigad/novo/protocolo/impressao.asp?cod_protocolo=4356242&amp;area=documento" TargetMode="External"/><Relationship Id="rId259" Type="http://schemas.openxmlformats.org/officeDocument/2006/relationships/hyperlink" Target="https://intra.senado.leg.br/sigad/novo/protocolo/impressao.asp?cod_protocolo=4415442&amp;area=processo" TargetMode="External"/><Relationship Id="rId23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119" Type="http://schemas.openxmlformats.org/officeDocument/2006/relationships/hyperlink" Target="https://intra.senado.leg.br/sigad/novo/protocolo/impressao.asp?area=processo&amp;cod_protocolo=4252455&amp;cod_frente_verso=&amp;cod_juntada=&amp;txt_funcao=" TargetMode="External"/><Relationship Id="rId270" Type="http://schemas.openxmlformats.org/officeDocument/2006/relationships/hyperlink" Target="https://intra.senado.leg.br/sigad/novo/protocolo/impressao.asp?cod_protocolo=4268675&amp;area=processo" TargetMode="External"/><Relationship Id="rId326" Type="http://schemas.openxmlformats.org/officeDocument/2006/relationships/hyperlink" Target="https://intra.senado.leg.br/sigad/visualizador/PdfJs/web/viewer.html?cod_protocolo=4496720&amp;cod_pagina=&amp;cod_usuario=76880&amp;cod_orgao=9694&amp;token=5W632YWER1CJ4XW" TargetMode="External"/><Relationship Id="rId65" Type="http://schemas.openxmlformats.org/officeDocument/2006/relationships/hyperlink" Target="https://intra.senado.leg.br/sigad/novo/protocolo/impressao.asp?cod_protocolo=4228774&amp;area=processo" TargetMode="External"/><Relationship Id="rId130" Type="http://schemas.openxmlformats.org/officeDocument/2006/relationships/hyperlink" Target="https://intra.senado.leg.br/sigad/novo/protocolo/impressao.asp?area=processo&amp;cod_protocolo=4268746&amp;cod_frente_verso=&amp;cod_juntada=&amp;txt_funcao=" TargetMode="External"/><Relationship Id="rId368" Type="http://schemas.openxmlformats.org/officeDocument/2006/relationships/hyperlink" Target="https://intra.senado.leg.br/sigad/novo/protocolo/impressao.asp?cod_protocolo=4529411&amp;area=processo" TargetMode="External"/><Relationship Id="rId172" Type="http://schemas.openxmlformats.org/officeDocument/2006/relationships/hyperlink" Target="https://intra.senado.leg.br/sigad/novo/protocolo/impressao.asp?cod_protocolo=4271988&amp;area=processo" TargetMode="External"/><Relationship Id="rId228" Type="http://schemas.openxmlformats.org/officeDocument/2006/relationships/hyperlink" Target="https://intra.senado.leg.br/sigad/novo/protocolo/impressao.asp?cod_protocolo=4367243&amp;area=processo" TargetMode="External"/><Relationship Id="rId281" Type="http://schemas.openxmlformats.org/officeDocument/2006/relationships/hyperlink" Target="https://intra.senado.leg.br/sigad/novo/protocolo/impressao.asp?cod_protocolo=4436786&amp;area=processo" TargetMode="External"/><Relationship Id="rId337" Type="http://schemas.openxmlformats.org/officeDocument/2006/relationships/hyperlink" Target="https://intra.senado.leg.br/sigad/novo/protocolo/impressao.asp?cod_protocolo=4500112&amp;area=processo" TargetMode="External"/><Relationship Id="rId34" Type="http://schemas.openxmlformats.org/officeDocument/2006/relationships/hyperlink" Target="https://intra.senado.leg.br/sigad/novo/protocolo/impressao.asp?cod_protocolo=4226567&amp;area=processo" TargetMode="External"/><Relationship Id="rId76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41" Type="http://schemas.openxmlformats.org/officeDocument/2006/relationships/hyperlink" Target="https://intra.senado.leg.br/sigad/novo/protocolo/impressao.asp?cod_protocolo=4269985&amp;area=processo" TargetMode="External"/><Relationship Id="rId7" Type="http://schemas.openxmlformats.org/officeDocument/2006/relationships/hyperlink" Target="https://intra.senado.leg.br/sigad/novo/protocolo/impressao.asp?cod_protocolo=4184491&amp;area=processo" TargetMode="External"/><Relationship Id="rId183" Type="http://schemas.openxmlformats.org/officeDocument/2006/relationships/hyperlink" Target="https://intra.senado.leg.br/sigad/novo/protocolo/impressao.asp?cod_protocolo=4260604&amp;area=processo" TargetMode="External"/><Relationship Id="rId239" Type="http://schemas.openxmlformats.org/officeDocument/2006/relationships/hyperlink" Target="https://intra.senado.leg.br/sigad/novo/protocolo/impressao.asp?cod_protocolo=4381592&amp;area=documento" TargetMode="External"/><Relationship Id="rId250" Type="http://schemas.openxmlformats.org/officeDocument/2006/relationships/hyperlink" Target="https://intra.senado.leg.br/sigad/novo/protocolo/impressao.asp?cod_protocolo=4404596&amp;area=processo" TargetMode="External"/><Relationship Id="rId292" Type="http://schemas.openxmlformats.org/officeDocument/2006/relationships/hyperlink" Target="https://intra.senado.leg.br/sigad/novo/protocolo/impressao.asp?cod_protocolo=4454933&amp;area=documento" TargetMode="External"/><Relationship Id="rId306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45" Type="http://schemas.openxmlformats.org/officeDocument/2006/relationships/hyperlink" Target="https://intra.senado.leg.br/sigad/novo/protocolo/impressao.asp?cod_protocolo=4227195" TargetMode="External"/><Relationship Id="rId87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10" Type="http://schemas.openxmlformats.org/officeDocument/2006/relationships/hyperlink" Target="https://intra.senado.leg.br/sigad/novo/protocolo/impressao.asp?cod_protocolo=4245916&amp;area=documento" TargetMode="External"/><Relationship Id="rId348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152" Type="http://schemas.openxmlformats.org/officeDocument/2006/relationships/hyperlink" Target="https://intra.senado.leg.br/sigad/novo/protocolo/impressao.asp?cod_protocolo=4270544&amp;area=processo" TargetMode="External"/><Relationship Id="rId194" Type="http://schemas.openxmlformats.org/officeDocument/2006/relationships/hyperlink" Target="https://intra.senado.leg.br/sigad/novo/protocolo/impressao.asp?area=processo&amp;cod_protocolo=4321644&amp;cod_frente_verso=&amp;cod_juntada=&amp;txt_funcao=" TargetMode="External"/><Relationship Id="rId208" Type="http://schemas.openxmlformats.org/officeDocument/2006/relationships/hyperlink" Target="https://intra.senado.leg.br/sigad/novo/protocolo/impressao.asp?area=processo&amp;cod_protocolo=4351914&amp;cod_frente_verso=&amp;cod_juntada=&amp;txt_funcao=" TargetMode="External"/><Relationship Id="rId261" Type="http://schemas.openxmlformats.org/officeDocument/2006/relationships/hyperlink" Target="https://intra.senado.leg.br/sigad/novo/protocolo/impressao.asp?area=processo&amp;cod_protocolo=4416710&amp;cod_frente_verso=&amp;cod_juntada=&amp;txt_funcao=" TargetMode="External"/><Relationship Id="rId14" Type="http://schemas.openxmlformats.org/officeDocument/2006/relationships/hyperlink" Target="https://intra.senado.leg.br/sigad/novo/protocolo/impressao.asp?cod_protocolo=4185197&amp;area=processo" TargetMode="External"/><Relationship Id="rId56" Type="http://schemas.openxmlformats.org/officeDocument/2006/relationships/hyperlink" Target="https://intra.senado.leg.br/sigad/novo/protocolo/impressao.asp?cod_protocolo=4228774&amp;area=processo" TargetMode="External"/><Relationship Id="rId317" Type="http://schemas.openxmlformats.org/officeDocument/2006/relationships/hyperlink" Target="https://intra.senado.leg.br/sigad/protocolo/impressao_arquivo.asp?cod_protocolo=4487853&amp;area=documento" TargetMode="External"/><Relationship Id="rId359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98" Type="http://schemas.openxmlformats.org/officeDocument/2006/relationships/hyperlink" Target="https://intra.senado.leg.br/sigad/novo/protocolo/impressao.asp?cod_protocolo=4241698&amp;area=documento" TargetMode="External"/><Relationship Id="rId121" Type="http://schemas.openxmlformats.org/officeDocument/2006/relationships/hyperlink" Target="https://intra.senado.leg.br/sigad/novo/protocolo/impressao.asp?area=processo&amp;cod_protocolo=4227921&amp;cod_frente_verso=&amp;cod_juntada=&amp;txt_funcao=" TargetMode="External"/><Relationship Id="rId163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219" Type="http://schemas.openxmlformats.org/officeDocument/2006/relationships/hyperlink" Target="https://intra.senado.leg.br/sigad/visualizador/PdfJs/web/viewer.html?cod_protocolo=4361230&amp;cod_pagina=&amp;cod_usuario=82996&amp;cod_orgao=9694&amp;token=OKHCHVF3XRDPT3Q" TargetMode="External"/><Relationship Id="rId370" Type="http://schemas.openxmlformats.org/officeDocument/2006/relationships/hyperlink" Target="https://intra.senado.leg.br/sigad/novo/protocolo/impressao.asp?cod_protocolo=4534783" TargetMode="External"/><Relationship Id="rId230" Type="http://schemas.openxmlformats.org/officeDocument/2006/relationships/hyperlink" Target="https://intra.senado.leg.br/sigad/novo/protocolo/impressao.asp?cod_protocolo=4382452&amp;area=processo" TargetMode="External"/><Relationship Id="rId25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67" Type="http://schemas.openxmlformats.org/officeDocument/2006/relationships/hyperlink" Target="https://intra.senado.leg.br/sigad/novo/protocolo/impressao.asp?cod_protocolo=4228774&amp;area=processo" TargetMode="External"/><Relationship Id="rId272" Type="http://schemas.openxmlformats.org/officeDocument/2006/relationships/hyperlink" Target="https://intra.senado.leg.br/sigad/visualizador/PdfJs/web/viewer.html?cod_protocolo=4434850&amp;cod_pagina=&amp;cod_usuario=76880&amp;cod_orgao=9694&amp;token=0EDF2SUAW7023EF" TargetMode="External"/><Relationship Id="rId328" Type="http://schemas.openxmlformats.org/officeDocument/2006/relationships/hyperlink" Target="https://intra.senado.leg.br/sigad/visualizador/PdfJs/web/viewer.html?cod_protocolo=4496620&amp;cod_pagina=&amp;cod_usuario=76880&amp;cod_orgao=9694&amp;token=WE940VOC05JAXAG" TargetMode="External"/><Relationship Id="rId132" Type="http://schemas.openxmlformats.org/officeDocument/2006/relationships/hyperlink" Target="https://intra.senado.leg.br/sigad/novo/protocolo/impressao.asp?cod_protocolo=4268675&amp;area=processo" TargetMode="External"/><Relationship Id="rId174" Type="http://schemas.openxmlformats.org/officeDocument/2006/relationships/hyperlink" Target="https://intra.senado.leg.br/sigad/novo/protocolo/impressao.asp?area=processo&amp;cod_protocolo=4272112&amp;cod_frente_verso=&amp;cod_juntada=&amp;txt_funcao=" TargetMode="External"/><Relationship Id="rId241" Type="http://schemas.openxmlformats.org/officeDocument/2006/relationships/hyperlink" Target="https://intra.senado.leg.br/sigad/novo/protocolo/impressao.asp?cod_protocolo=4381592&amp;area=documento" TargetMode="External"/><Relationship Id="rId36" Type="http://schemas.openxmlformats.org/officeDocument/2006/relationships/hyperlink" Target="https://intra.senado.leg.br/sigad/novo/protocolo/impressao.asp?cod_protocolo=4226567&amp;area=processo" TargetMode="External"/><Relationship Id="rId283" Type="http://schemas.openxmlformats.org/officeDocument/2006/relationships/hyperlink" Target="https://intra.senado.leg.br/sigad/novo/protocolo/impressao.asp?cod_protocolo=4424781&amp;area=processo" TargetMode="External"/><Relationship Id="rId339" Type="http://schemas.openxmlformats.org/officeDocument/2006/relationships/hyperlink" Target="https://intra.senado.leg.br/sigad/visualizador/PdfJs/web/viewer.html?cod_protocolo=4501813&amp;cod_pagina=&amp;cod_usuario=76880&amp;cod_orgao=9694&amp;token=6TG3ELSB78B1I01" TargetMode="External"/><Relationship Id="rId78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99" Type="http://schemas.openxmlformats.org/officeDocument/2006/relationships/hyperlink" Target="https://intra.senado.leg.br/sigad/novo/protocolo/impressao.asp?cod_protocolo=4241698&amp;area=documento" TargetMode="External"/><Relationship Id="rId101" Type="http://schemas.openxmlformats.org/officeDocument/2006/relationships/hyperlink" Target="https://intra.senado.leg.br/sigad/novo/protocolo/impressao.asp?cod_protocolo=4241700&amp;area=documento" TargetMode="External"/><Relationship Id="rId122" Type="http://schemas.openxmlformats.org/officeDocument/2006/relationships/hyperlink" Target="https://intra.senado.leg.br/sigad/novo/protocolo/impressao.asp?cod_protocolo=4251642&amp;area=processo" TargetMode="External"/><Relationship Id="rId143" Type="http://schemas.openxmlformats.org/officeDocument/2006/relationships/hyperlink" Target="https://intra.senado.leg.br/sigad/novo/protocolo/impressao.asp?cod_protocolo=4269985&amp;area=processo" TargetMode="External"/><Relationship Id="rId164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85" Type="http://schemas.openxmlformats.org/officeDocument/2006/relationships/hyperlink" Target="https://intra.senado.leg.br/sigad/novo/protocolo/impressao.asp?area=documento&amp;cod_protocolo=4289718" TargetMode="External"/><Relationship Id="rId350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371" Type="http://schemas.openxmlformats.org/officeDocument/2006/relationships/hyperlink" Target="https://intra.senado.leg.br/sigad/novo/protocolo/impressao.asp?cod_protocolo=4521954&amp;area=processo" TargetMode="External"/><Relationship Id="rId9" Type="http://schemas.openxmlformats.org/officeDocument/2006/relationships/hyperlink" Target="https://intra.senado.leg.br/sigad/novo/protocolo/impressao.asp?cod_protocolo=4184491&amp;area=processo" TargetMode="External"/><Relationship Id="rId210" Type="http://schemas.openxmlformats.org/officeDocument/2006/relationships/hyperlink" Target="https://intra.senado.leg.br/sigad/novo/protocolo/impressao.asp?cod_protocolo=4351267&amp;area=processo" TargetMode="External"/><Relationship Id="rId26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231" Type="http://schemas.openxmlformats.org/officeDocument/2006/relationships/hyperlink" Target="https://intra.senado.leg.br/sigad/novo/protocolo/impressao.asp?area=processo&amp;cod_protocolo=4386762&amp;cod_frente_verso=&amp;cod_juntada=&amp;txt_funcao=" TargetMode="External"/><Relationship Id="rId252" Type="http://schemas.openxmlformats.org/officeDocument/2006/relationships/hyperlink" Target="https://intra.senado.leg.br/sigad/novo/protocolo/impressao.asp?area=processo&amp;cod_protocolo=4404676&amp;cod_frente_verso=&amp;cod_juntada=&amp;txt_funcao=" TargetMode="External"/><Relationship Id="rId273" Type="http://schemas.openxmlformats.org/officeDocument/2006/relationships/hyperlink" Target="https://intra.senado.leg.br/sigad/visualizador/PdfJs/web/viewer.html?cod_protocolo=4434850&amp;cod_pagina=&amp;cod_usuario=76880&amp;cod_orgao=9694&amp;token=0EDF2SUAW7023EF" TargetMode="External"/><Relationship Id="rId294" Type="http://schemas.openxmlformats.org/officeDocument/2006/relationships/hyperlink" Target="https://intra.senado.leg.br/sigad/novo/protocolo/impressao.asp?cod_protocolo=4465131&amp;area=processo" TargetMode="External"/><Relationship Id="rId308" Type="http://schemas.openxmlformats.org/officeDocument/2006/relationships/hyperlink" Target="https://intra.senado.leg.br/sigad/novo/protocolo/impressao.asp?cod_protocolo=4454723&amp;area=processo" TargetMode="External"/><Relationship Id="rId329" Type="http://schemas.openxmlformats.org/officeDocument/2006/relationships/hyperlink" Target="https://intra.senado.leg.br/sigad/novo/protocolo/impressao.asp?cod_protocolo=4496323&amp;area=processo" TargetMode="External"/><Relationship Id="rId47" Type="http://schemas.openxmlformats.org/officeDocument/2006/relationships/hyperlink" Target="https://intra.senado.leg.br/sigad/novo/protocolo/impressao.asp?cod_protocolo=4227195" TargetMode="External"/><Relationship Id="rId68" Type="http://schemas.openxmlformats.org/officeDocument/2006/relationships/hyperlink" Target="https://intra.senado.leg.br/sigad/novo/protocolo/impressao.asp?cod_protocolo=4229768&amp;area=processo" TargetMode="External"/><Relationship Id="rId89" Type="http://schemas.openxmlformats.org/officeDocument/2006/relationships/hyperlink" Target="https://intra.senado.leg.br/sigad/novo/protocolo/impressao.asp?cod_protocolo=4241698&amp;area=documento" TargetMode="External"/><Relationship Id="rId112" Type="http://schemas.openxmlformats.org/officeDocument/2006/relationships/hyperlink" Target="https://intra.senado.leg.br/sigad/novo/protocolo/impressao.asp?cod_protocolo=4244901&amp;area=processo" TargetMode="External"/><Relationship Id="rId133" Type="http://schemas.openxmlformats.org/officeDocument/2006/relationships/hyperlink" Target="https://intra.senado.leg.br/sigad/novo/protocolo/impressao.asp?cod_protocolo=4262772&amp;area=processo" TargetMode="External"/><Relationship Id="rId154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75" Type="http://schemas.openxmlformats.org/officeDocument/2006/relationships/hyperlink" Target="https://intra.senado.leg.br/sigad/novo/protocolo/impressao.asp?area=processo&amp;cod_protocolo=4274089&amp;cod_frente_verso=&amp;cod_juntada=&amp;txt_funcao=" TargetMode="External"/><Relationship Id="rId340" Type="http://schemas.openxmlformats.org/officeDocument/2006/relationships/hyperlink" Target="https://intra.senado.leg.br/sigad/novo/protocolo/impressao.asp?cod_protocolo=4507912&amp;area=processo" TargetMode="External"/><Relationship Id="rId361" Type="http://schemas.openxmlformats.org/officeDocument/2006/relationships/hyperlink" Target="https://intra.senado.leg.br/sigad/novo/protocolo/impressao.asp?cod_protocolo=4497692&amp;area=processo" TargetMode="External"/><Relationship Id="rId196" Type="http://schemas.openxmlformats.org/officeDocument/2006/relationships/hyperlink" Target="https://intra.senado.leg.br/sigad/novo/protocolo/impressao.asp?cod_protocolo=4329292&amp;area=processo" TargetMode="External"/><Relationship Id="rId200" Type="http://schemas.openxmlformats.org/officeDocument/2006/relationships/hyperlink" Target="https://intra.senado.leg.br/sigad/novo/protocolo/impressao.asp?cod_protocolo=4335416&amp;area=processo" TargetMode="External"/><Relationship Id="rId16" Type="http://schemas.openxmlformats.org/officeDocument/2006/relationships/hyperlink" Target="https://intra.senado.leg.br/sigad/novo/protocolo/impressao.asp?cod_protocolo=4202078&amp;area=processo" TargetMode="External"/><Relationship Id="rId221" Type="http://schemas.openxmlformats.org/officeDocument/2006/relationships/hyperlink" Target="https://intra.senado.leg.br/sigad/novo/protocolo/impressao.asp?area=processo&amp;cod_protocolo=4362901&amp;cod_frente_verso=&amp;cod_juntada=&amp;txt_funcao=" TargetMode="External"/><Relationship Id="rId242" Type="http://schemas.openxmlformats.org/officeDocument/2006/relationships/hyperlink" Target="https://intra.senado.leg.br/sigad/novo/protocolo/impressao.asp?cod_protocolo=4395465&amp;area=processo" TargetMode="External"/><Relationship Id="rId263" Type="http://schemas.openxmlformats.org/officeDocument/2006/relationships/hyperlink" Target="https://intra.senado.leg.br/sigad/novo/protocolo/impressao.asp?cod_protocolo=4423211&amp;area=processo" TargetMode="External"/><Relationship Id="rId284" Type="http://schemas.openxmlformats.org/officeDocument/2006/relationships/hyperlink" Target="https://intra.senado.leg.br/sigad/novo/protocolo/impressao.asp?cod_protocolo=4421489&amp;area=processo" TargetMode="External"/><Relationship Id="rId319" Type="http://schemas.openxmlformats.org/officeDocument/2006/relationships/hyperlink" Target="https://intra.senado.leg.br/sigad/novo/protocolo/impressao.asp?area=processo&amp;cod_protocolo=4488026&amp;cod_frente_verso=&amp;cod_juntada=&amp;txt_funcao=" TargetMode="External"/><Relationship Id="rId37" Type="http://schemas.openxmlformats.org/officeDocument/2006/relationships/hyperlink" Target="https://intra.senado.leg.br/sigad/novo/protocolo/impressao.asp?cod_protocolo=4226567&amp;area=processo" TargetMode="External"/><Relationship Id="rId58" Type="http://schemas.openxmlformats.org/officeDocument/2006/relationships/hyperlink" Target="https://intra.senado.leg.br/sigad/novo/protocolo/impressao.asp?cod_protocolo=4228774&amp;area=processo" TargetMode="External"/><Relationship Id="rId79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02" Type="http://schemas.openxmlformats.org/officeDocument/2006/relationships/hyperlink" Target="https://intra.senado.leg.br/sigad/novo/protocolo/impressao.asp?cod_protocolo=4241701&amp;area=documento" TargetMode="External"/><Relationship Id="rId123" Type="http://schemas.openxmlformats.org/officeDocument/2006/relationships/hyperlink" Target="https://intra.senado.leg.br/sigad/novo/protocolo/impressao.asp?cod_protocolo=4238654&amp;area=processo" TargetMode="External"/><Relationship Id="rId144" Type="http://schemas.openxmlformats.org/officeDocument/2006/relationships/hyperlink" Target="https://intra.senado.leg.br/sigad/novo/protocolo/impressao.asp?cod_protocolo=4269985&amp;area=processo" TargetMode="External"/><Relationship Id="rId330" Type="http://schemas.openxmlformats.org/officeDocument/2006/relationships/hyperlink" Target="https://intra.senado.leg.br/sigad/novo/protocolo/impressao.asp?cod_protocolo=4465753&amp;area=processo" TargetMode="External"/><Relationship Id="rId90" Type="http://schemas.openxmlformats.org/officeDocument/2006/relationships/hyperlink" Target="https://intra.senado.leg.br/sigad/novo/protocolo/impressao.asp?cod_protocolo=4241698&amp;area=documento" TargetMode="External"/><Relationship Id="rId165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86" Type="http://schemas.openxmlformats.org/officeDocument/2006/relationships/hyperlink" Target="https://intra.senado.leg.br/sigad/novo/protocolo/impressao.asp?area=processo&amp;cod_protocolo=4304053&amp;cod_frente_verso=&amp;cod_juntada=&amp;txt_funcao=" TargetMode="External"/><Relationship Id="rId351" Type="http://schemas.openxmlformats.org/officeDocument/2006/relationships/hyperlink" Target="https://intra.senado.leg.br/sigad/novo/protocolo/impressao.asp?area=processo&amp;cod_protocolo=4508786&amp;cod_frente_verso=&amp;cod_juntada=&amp;txt_funcao=" TargetMode="External"/><Relationship Id="rId372" Type="http://schemas.openxmlformats.org/officeDocument/2006/relationships/hyperlink" Target="https://intra.senado.leg.br/sigad/novo/protocolo/impressao.asp?cod_protocolo=4536984&amp;area=processo" TargetMode="External"/><Relationship Id="rId211" Type="http://schemas.openxmlformats.org/officeDocument/2006/relationships/hyperlink" Target="https://intra.senado.leg.br/sigad/novo/protocolo/impressao.asp?area=processo&amp;cod_protocolo=4348671&amp;cod_frente_verso=&amp;cod_juntada=&amp;txt_funcao=" TargetMode="External"/><Relationship Id="rId232" Type="http://schemas.openxmlformats.org/officeDocument/2006/relationships/hyperlink" Target="https://intra.senado.leg.br/sigad/novo/protocolo/impressao.asp?area=processo&amp;cod_protocolo=4300859&amp;cod_frente_verso=&amp;cod_juntada=&amp;txt_funcao=" TargetMode="External"/><Relationship Id="rId253" Type="http://schemas.openxmlformats.org/officeDocument/2006/relationships/hyperlink" Target="https://intra.senado.leg.br/sigad/novo/protocolo/impressao.asp?area=processo&amp;cod_protocolo=4406871&amp;cod_frente_verso=&amp;cod_juntada=&amp;txt_funcao=" TargetMode="External"/><Relationship Id="rId274" Type="http://schemas.openxmlformats.org/officeDocument/2006/relationships/hyperlink" Target="https://intra.senado.leg.br/sigad/visualizador/PdfJs/web/viewer.html?cod_protocolo=4434850&amp;cod_pagina=&amp;cod_usuario=76880&amp;cod_orgao=9694&amp;token=0EDF2SUAW7023EF" TargetMode="External"/><Relationship Id="rId295" Type="http://schemas.openxmlformats.org/officeDocument/2006/relationships/hyperlink" Target="https://intra.senado.leg.br/sigad/novo/protocolo/impressao.asp?cod_protocolo=4465131&amp;area=processo" TargetMode="External"/><Relationship Id="rId309" Type="http://schemas.openxmlformats.org/officeDocument/2006/relationships/hyperlink" Target="https://intra.senado.leg.br/sigad/novo/protocolo/impressao.asp?area=processo&amp;cod_protocolo=4470066&amp;cod_frente_verso=&amp;cod_juntada=&amp;txt_funcao=" TargetMode="External"/><Relationship Id="rId27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48" Type="http://schemas.openxmlformats.org/officeDocument/2006/relationships/hyperlink" Target="https://intra.senado.leg.br/sigad/novo/protocolo/impressao.asp?cod_protocolo=4227195" TargetMode="External"/><Relationship Id="rId69" Type="http://schemas.openxmlformats.org/officeDocument/2006/relationships/hyperlink" Target="https://intra.senado.leg.br/sigad/novo/protocolo/impressao.asp?cod_protocolo=4229847&amp;area=processo" TargetMode="External"/><Relationship Id="rId113" Type="http://schemas.openxmlformats.org/officeDocument/2006/relationships/hyperlink" Target="https://intra.senado.leg.br/sigad/novo/protocolo/impressao.asp?cod_protocolo=4245053&amp;area=processo" TargetMode="External"/><Relationship Id="rId134" Type="http://schemas.openxmlformats.org/officeDocument/2006/relationships/hyperlink" Target="https://intra.senado.leg.br/sigad/novo/protocolo/impressao.asp?area=processo&amp;cod_protocolo=4263004&amp;cod_frente_verso=&amp;cod_juntada=&amp;txt_funcao=" TargetMode="External"/><Relationship Id="rId320" Type="http://schemas.openxmlformats.org/officeDocument/2006/relationships/hyperlink" Target="https://intra.senado.leg.br/sigad/novo/protocolo/impressao.asp?cod_protocolo=4477362&amp;area=processo" TargetMode="External"/><Relationship Id="rId80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55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76" Type="http://schemas.openxmlformats.org/officeDocument/2006/relationships/hyperlink" Target="https://intra.senado.leg.br/sigad/novo/protocolo/impressao.asp?cod_protocolo=4277368&amp;area=processo" TargetMode="External"/><Relationship Id="rId197" Type="http://schemas.openxmlformats.org/officeDocument/2006/relationships/hyperlink" Target="https://intra.senado.leg.br/sigad/novo/protocolo/impressao.asp?cod_protocolo=4330099&amp;area=processo" TargetMode="External"/><Relationship Id="rId341" Type="http://schemas.openxmlformats.org/officeDocument/2006/relationships/hyperlink" Target="https://intra.senado.leg.br/sigad/novo/protocolo/impressao.asp?cod_protocolo=4507912&amp;area=processo" TargetMode="External"/><Relationship Id="rId362" Type="http://schemas.openxmlformats.org/officeDocument/2006/relationships/hyperlink" Target="https://intra.senado.leg.br/sigad/visualizador/PdfJs/web/viewer.html?cod_protocolo=4518451&amp;cod_pagina=&amp;cod_usuario=76880&amp;cod_orgao=9694&amp;token=L5RH96U1JRURBOP" TargetMode="External"/><Relationship Id="rId201" Type="http://schemas.openxmlformats.org/officeDocument/2006/relationships/hyperlink" Target="https://intra.senado.leg.br/sigad/novo/protocolo/impressao.asp?area=processo&amp;cod_protocolo=4335657&amp;cod_frente_verso=&amp;cod_juntada=&amp;txt_funcao=" TargetMode="External"/><Relationship Id="rId222" Type="http://schemas.openxmlformats.org/officeDocument/2006/relationships/hyperlink" Target="https://intra.senado.leg.br/sigad/novo/protocolo/impressao.asp?cod_protocolo=4363164&amp;area=processo" TargetMode="External"/><Relationship Id="rId243" Type="http://schemas.openxmlformats.org/officeDocument/2006/relationships/hyperlink" Target="https://intra.senado.leg.br/sigad/novo/protocolo/impressao.asp?cod_protocolo=4396301&amp;area=processo" TargetMode="External"/><Relationship Id="rId264" Type="http://schemas.openxmlformats.org/officeDocument/2006/relationships/hyperlink" Target="https://intra.senado.leg.br/sigad/novo/protocolo/impressao.asp?area=processo&amp;cod_protocolo=4423392&amp;cod_frente_verso=&amp;cod_juntada=&amp;txt_funcao=" TargetMode="External"/><Relationship Id="rId285" Type="http://schemas.openxmlformats.org/officeDocument/2006/relationships/hyperlink" Target="https://intra.senado.leg.br/sigad/novo/protocolo/impressao.asp?area=processo&amp;cod_protocolo=4421604&amp;cod_frente_verso=&amp;cod_juntada=&amp;txt_funcao=" TargetMode="External"/><Relationship Id="rId17" Type="http://schemas.openxmlformats.org/officeDocument/2006/relationships/hyperlink" Target="https://intra.senado.leg.br/sigad/novo/protocolo/impressao.asp?cod_protocolo=4203288&amp;area=processo" TargetMode="External"/><Relationship Id="rId38" Type="http://schemas.openxmlformats.org/officeDocument/2006/relationships/hyperlink" Target="https://intra.senado.leg.br/sigad/novo/protocolo/impressao.asp?cod_protocolo=4227195" TargetMode="External"/><Relationship Id="rId59" Type="http://schemas.openxmlformats.org/officeDocument/2006/relationships/hyperlink" Target="https://intra.senado.leg.br/sigad/novo/protocolo/impressao.asp?cod_protocolo=4228774&amp;area=processo" TargetMode="External"/><Relationship Id="rId103" Type="http://schemas.openxmlformats.org/officeDocument/2006/relationships/hyperlink" Target="https://intra.senado.leg.br/sigad/novo/protocolo/impressao.asp?cod_protocolo=4241695&amp;area=documento" TargetMode="External"/><Relationship Id="rId124" Type="http://schemas.openxmlformats.org/officeDocument/2006/relationships/hyperlink" Target="https://intra.senado.leg.br/sigad/novo/protocolo/impressao.asp?cod_protocolo=4262638&amp;area=processo" TargetMode="External"/><Relationship Id="rId310" Type="http://schemas.openxmlformats.org/officeDocument/2006/relationships/hyperlink" Target="https://intra.senado.leg.br/sigad/novo/protocolo/impressao.asp?cod_protocolo=4474226&amp;area=processo" TargetMode="External"/><Relationship Id="rId70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91" Type="http://schemas.openxmlformats.org/officeDocument/2006/relationships/hyperlink" Target="https://intra.senado.leg.br/sigad/novo/protocolo/impressao.asp?cod_protocolo=4241698&amp;area=documento" TargetMode="External"/><Relationship Id="rId145" Type="http://schemas.openxmlformats.org/officeDocument/2006/relationships/hyperlink" Target="https://intra.senado.leg.br/sigad/novo/protocolo/impressao.asp?cod_protocolo=4269985&amp;area=processo" TargetMode="External"/><Relationship Id="rId166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87" Type="http://schemas.openxmlformats.org/officeDocument/2006/relationships/hyperlink" Target="https://intra.senado.leg.br/sigad/novo/protocolo/impressao.asp?area=processo&amp;cod_protocolo=4304053&amp;cod_frente_verso=&amp;cod_juntada=&amp;txt_funcao=" TargetMode="External"/><Relationship Id="rId331" Type="http://schemas.openxmlformats.org/officeDocument/2006/relationships/hyperlink" Target="https://intra.senado.leg.br/sigad/novo/protocolo/impressao.asp?cod_protocolo=4465753&amp;area=processo" TargetMode="External"/><Relationship Id="rId352" Type="http://schemas.openxmlformats.org/officeDocument/2006/relationships/hyperlink" Target="https://intra.senado.leg.br/sigad/novo/protocolo/impressao.asp?area=processo&amp;cod_protocolo=4508858&amp;cod_frente_verso=&amp;cod_juntada=&amp;txt_funcao=" TargetMode="External"/><Relationship Id="rId373" Type="http://schemas.openxmlformats.org/officeDocument/2006/relationships/hyperlink" Target="https://intra.senado.leg.br/sigad/novo/protocolo/impressao.asp?cod_protocolo=4537024" TargetMode="External"/><Relationship Id="rId1" Type="http://schemas.openxmlformats.org/officeDocument/2006/relationships/hyperlink" Target="https://intra.senado.leg.br/sigad/novo/protocolo/impressao.asp?cod_protocolo=4101674&amp;area=processo" TargetMode="External"/><Relationship Id="rId212" Type="http://schemas.openxmlformats.org/officeDocument/2006/relationships/hyperlink" Target="https://intra.senado.leg.br/sigad/visualizador/PdfJs/web/viewer.html?cod_protocolo=4355825&amp;cod_pagina=&amp;cod_usuario=82996&amp;cod_orgao=9694&amp;token=HRWVLG0D1MC3W85" TargetMode="External"/><Relationship Id="rId233" Type="http://schemas.openxmlformats.org/officeDocument/2006/relationships/hyperlink" Target="https://intra.senado.leg.br/sigad/novo/protocolo/impressao.asp?cod_protocolo=4310744&amp;area=documento" TargetMode="External"/><Relationship Id="rId254" Type="http://schemas.openxmlformats.org/officeDocument/2006/relationships/hyperlink" Target="https://intra.senado.leg.br/sigad/novo/protocolo/impressao.asp?cod_protocolo=4406206&amp;area=processo" TargetMode="External"/><Relationship Id="rId28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49" Type="http://schemas.openxmlformats.org/officeDocument/2006/relationships/hyperlink" Target="https://intra.senado.leg.br/sigad/novo/protocolo/impressao.asp?cod_protocolo=4227195" TargetMode="External"/><Relationship Id="rId114" Type="http://schemas.openxmlformats.org/officeDocument/2006/relationships/hyperlink" Target="https://intra.senado.leg.br/sigad/novo/protocolo/impressao.asp?cod_protocolo=4248168&amp;area=processo" TargetMode="External"/><Relationship Id="rId275" Type="http://schemas.openxmlformats.org/officeDocument/2006/relationships/hyperlink" Target="https://intra.senado.leg.br/sigad/visualizador/PdfJs/web/viewer.html?cod_protocolo=4437034&amp;cod_pagina=&amp;cod_usuario=76880&amp;cod_orgao=9694&amp;token=E17T6GVD9FH2WEV" TargetMode="External"/><Relationship Id="rId296" Type="http://schemas.openxmlformats.org/officeDocument/2006/relationships/hyperlink" Target="https://intra.senado.leg.br/sigad/novo/protocolo/impressao.asp?cod_protocolo=4465131&amp;area=processo" TargetMode="External"/><Relationship Id="rId300" Type="http://schemas.openxmlformats.org/officeDocument/2006/relationships/hyperlink" Target="https://intra.senado.leg.br/sigad/novo/protocolo/impressao.asp?cod_protocolo=4461593&amp;area=processo" TargetMode="External"/><Relationship Id="rId60" Type="http://schemas.openxmlformats.org/officeDocument/2006/relationships/hyperlink" Target="https://intra.senado.leg.br/sigad/novo/protocolo/impressao.asp?cod_protocolo=4228774&amp;area=processo" TargetMode="External"/><Relationship Id="rId81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35" Type="http://schemas.openxmlformats.org/officeDocument/2006/relationships/hyperlink" Target="https://intra.senado.leg.br/sigad/novo/protocolo/impressao.asp?cod_protocolo=4269985&amp;area=processo" TargetMode="External"/><Relationship Id="rId156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77" Type="http://schemas.openxmlformats.org/officeDocument/2006/relationships/hyperlink" Target="https://intra.senado.leg.br/sigad/novo/protocolo/impressao.asp?cod_protocolo=4277567&amp;area=processo" TargetMode="External"/><Relationship Id="rId198" Type="http://schemas.openxmlformats.org/officeDocument/2006/relationships/hyperlink" Target="https://intra.senado.leg.br/sigad/novo/protocolo/impressao.asp?area=processo&amp;cod_protocolo=4333088&amp;cod_frente_verso=&amp;cod_juntada=&amp;txt_funcao=" TargetMode="External"/><Relationship Id="rId321" Type="http://schemas.openxmlformats.org/officeDocument/2006/relationships/hyperlink" Target="https://intra.senado.leg.br/sigad/novo/protocolo/impressao.asp?area=processo&amp;cod_protocolo=4488026&amp;cod_frente_verso=&amp;cod_juntada=&amp;txt_funcao=" TargetMode="External"/><Relationship Id="rId342" Type="http://schemas.openxmlformats.org/officeDocument/2006/relationships/hyperlink" Target="https://intra.senado.leg.br/sigad/novo/protocolo/impressao.asp?cod_protocolo=4509982&amp;area=processo" TargetMode="External"/><Relationship Id="rId363" Type="http://schemas.openxmlformats.org/officeDocument/2006/relationships/hyperlink" Target="https://intra.senado.leg.br/sigad/novo/protocolo/impressao.asp?cod_protocolo=4515236&amp;area=processo" TargetMode="External"/><Relationship Id="rId202" Type="http://schemas.openxmlformats.org/officeDocument/2006/relationships/hyperlink" Target="https://intra.senado.leg.br/sigad/novo/protocolo/impressao.asp?area=processo&amp;cod_protocolo=4339847&amp;cod_frente_verso=&amp;cod_juntada=&amp;txt_funcao=" TargetMode="External"/><Relationship Id="rId223" Type="http://schemas.openxmlformats.org/officeDocument/2006/relationships/hyperlink" Target="https://intra.senado.leg.br/sigad/novo/protocolo/impressao.asp?cod_protocolo=4364142&amp;area=processo" TargetMode="External"/><Relationship Id="rId244" Type="http://schemas.openxmlformats.org/officeDocument/2006/relationships/hyperlink" Target="https://intra.senado.leg.br/sigad/novo/protocolo/impressao.asp?area=processo&amp;cod_protocolo=4397689&amp;cod_frente_verso=&amp;cod_juntada=&amp;txt_funcao=" TargetMode="External"/><Relationship Id="rId18" Type="http://schemas.openxmlformats.org/officeDocument/2006/relationships/hyperlink" Target="https://intra.senado.leg.br/sigad/novo/protocolo/impressao.asp?area=processo&amp;cod_protocolo=4195411&amp;cod_frente_verso=&amp;cod_juntada=&amp;txt_funcao=" TargetMode="External"/><Relationship Id="rId39" Type="http://schemas.openxmlformats.org/officeDocument/2006/relationships/hyperlink" Target="https://intra.senado.leg.br/sigad/novo/protocolo/impressao.asp?cod_protocolo=4227195" TargetMode="External"/><Relationship Id="rId265" Type="http://schemas.openxmlformats.org/officeDocument/2006/relationships/hyperlink" Target="https://intra.senado.leg.br/sigad/visualizador/PdfJs/web/viewer.html?cod_protocolo=4426360&amp;cod_pagina=&amp;cod_usuario=82996&amp;cod_orgao=9694&amp;token=7FK7O1WYBMXLGE5" TargetMode="External"/><Relationship Id="rId286" Type="http://schemas.openxmlformats.org/officeDocument/2006/relationships/hyperlink" Target="https://intra.senado.leg.br/sigad/novo/protocolo/impressao.asp?area=processo&amp;cod_protocolo=4443616&amp;cod_frente_verso=&amp;cod_juntada=&amp;txt_funcao=" TargetMode="External"/><Relationship Id="rId50" Type="http://schemas.openxmlformats.org/officeDocument/2006/relationships/hyperlink" Target="https://intra.senado.leg.br/sigad/novo/protocolo/impressao.asp?cod_protocolo=4227195" TargetMode="External"/><Relationship Id="rId104" Type="http://schemas.openxmlformats.org/officeDocument/2006/relationships/hyperlink" Target="https://intra.senado.leg.br/sigad/novo/protocolo/impressao.asp?cod_protocolo=4241695&amp;area=documento" TargetMode="External"/><Relationship Id="rId125" Type="http://schemas.openxmlformats.org/officeDocument/2006/relationships/hyperlink" Target="https://intra.senado.leg.br/sigad/novo/protocolo/impressao.asp?cod_protocolo=4262063&amp;area=processo" TargetMode="External"/><Relationship Id="rId146" Type="http://schemas.openxmlformats.org/officeDocument/2006/relationships/hyperlink" Target="https://intra.senado.leg.br/sigad/novo/protocolo/impressao.asp?cod_protocolo=4269985&amp;area=processo" TargetMode="External"/><Relationship Id="rId167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88" Type="http://schemas.openxmlformats.org/officeDocument/2006/relationships/hyperlink" Target="https://intra.senado.leg.br/sigad/novo/protocolo/impressao.asp?cod_protocolo=4213562&amp;area=processo" TargetMode="External"/><Relationship Id="rId311" Type="http://schemas.openxmlformats.org/officeDocument/2006/relationships/hyperlink" Target="https://intra.senado.leg.br/sigad/novo/protocolo/impressao.asp?cod_protocolo=4467884&amp;area=processo" TargetMode="External"/><Relationship Id="rId332" Type="http://schemas.openxmlformats.org/officeDocument/2006/relationships/hyperlink" Target="https://intra.senado.leg.br/sigad/visualizador/PdfJs/web/viewer.html?cod_protocolo=4465807&amp;cod_pagina=&amp;cod_usuario=76880&amp;cod_orgao=9694&amp;token=UVYHBQR4KQXMA3P" TargetMode="External"/><Relationship Id="rId353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374" Type="http://schemas.openxmlformats.org/officeDocument/2006/relationships/hyperlink" Target="https://intra.senado.leg.br/sigad/novo/protocolo/impressao.asp?cod_protocolo=4536977" TargetMode="External"/><Relationship Id="rId71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92" Type="http://schemas.openxmlformats.org/officeDocument/2006/relationships/hyperlink" Target="https://intra.senado.leg.br/sigad/novo/protocolo/impressao.asp?cod_protocolo=4241698&amp;area=documento" TargetMode="External"/><Relationship Id="rId213" Type="http://schemas.openxmlformats.org/officeDocument/2006/relationships/hyperlink" Target="https://intra.senado.leg.br/sigad/visualizador/PdfJs/web/viewer.html?cod_protocolo=4355825&amp;cod_pagina=&amp;cod_usuario=82996&amp;cod_orgao=9694&amp;token=HRWVLG0D1MC3W85" TargetMode="External"/><Relationship Id="rId234" Type="http://schemas.openxmlformats.org/officeDocument/2006/relationships/hyperlink" Target="https://intra.senado.leg.br/sigad/novo/protocolo/impressao.asp?cod_protocolo=4296463&amp;area=documento" TargetMode="External"/><Relationship Id="rId2" Type="http://schemas.openxmlformats.org/officeDocument/2006/relationships/hyperlink" Target="https://intra.senado.leg.br/sigad/novo/protocolo/impressao.asp?cod_protocolo=4106033&amp;area=processo" TargetMode="External"/><Relationship Id="rId29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255" Type="http://schemas.openxmlformats.org/officeDocument/2006/relationships/hyperlink" Target="https://intra.senado.leg.br/sigad/novo/protocolo/impressao.asp?area=processo&amp;cod_protocolo=4406546&amp;cod_frente_verso=&amp;cod_juntada=&amp;txt_funcao=" TargetMode="External"/><Relationship Id="rId276" Type="http://schemas.openxmlformats.org/officeDocument/2006/relationships/hyperlink" Target="https://intra.senado.leg.br/sigad/visualizador/PdfJs/web/viewer.html?cod_protocolo=4437214&amp;cod_pagina=&amp;cod_usuario=76880&amp;cod_orgao=9694&amp;token=UBBJUSJ6F32VSP6" TargetMode="External"/><Relationship Id="rId297" Type="http://schemas.openxmlformats.org/officeDocument/2006/relationships/hyperlink" Target="https://intra.senado.leg.br/sigad/novo/protocolo/impressao.asp?cod_protocolo=4465131&amp;area=processo" TargetMode="External"/><Relationship Id="rId40" Type="http://schemas.openxmlformats.org/officeDocument/2006/relationships/hyperlink" Target="https://intra.senado.leg.br/sigad/novo/protocolo/impressao.asp?cod_protocolo=4227195" TargetMode="External"/><Relationship Id="rId115" Type="http://schemas.openxmlformats.org/officeDocument/2006/relationships/hyperlink" Target="https://intra.senado.leg.br/sigad/novo/protocolo/impressao.asp?area=processo&amp;cod_protocolo=4248465&amp;cod_frente_verso=&amp;cod_juntada=&amp;txt_funcao=" TargetMode="External"/><Relationship Id="rId136" Type="http://schemas.openxmlformats.org/officeDocument/2006/relationships/hyperlink" Target="https://intra.senado.leg.br/sigad/novo/protocolo/impressao.asp?cod_protocolo=4269985&amp;area=processo" TargetMode="External"/><Relationship Id="rId157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78" Type="http://schemas.openxmlformats.org/officeDocument/2006/relationships/hyperlink" Target="https://intra.senado.leg.br/sigad/novo/protocolo/impressao.asp?area=processo&amp;cod_protocolo=4277686&amp;cod_frente_verso=&amp;cod_juntada=&amp;txt_funcao=" TargetMode="External"/><Relationship Id="rId301" Type="http://schemas.openxmlformats.org/officeDocument/2006/relationships/hyperlink" Target="https://intra.senado.leg.br/sigad/novo/protocolo/impressao.asp?area=processo&amp;cod_protocolo=4469356&amp;cod_frente_verso=&amp;cod_juntada=&amp;txt_funcao=" TargetMode="External"/><Relationship Id="rId322" Type="http://schemas.openxmlformats.org/officeDocument/2006/relationships/hyperlink" Target="https://intra.senado.leg.br/sigad/novo/protocolo/impressao.asp?cod_protocolo=4228774&amp;area=processo" TargetMode="External"/><Relationship Id="rId343" Type="http://schemas.openxmlformats.org/officeDocument/2006/relationships/hyperlink" Target="https://intra.senado.leg.br/sigad/novo/protocolo/impressao.asp?area=processo&amp;cod_protocolo=4499953&amp;cod_frente_verso=&amp;cod_juntada=&amp;txt_funcao=" TargetMode="External"/><Relationship Id="rId364" Type="http://schemas.openxmlformats.org/officeDocument/2006/relationships/hyperlink" Target="https://intra.senado.leg.br/sigad/novo/protocolo/impressao.asp?area=processo&amp;cod_protocolo=4515916&amp;cod_frente_verso=&amp;cod_juntada=&amp;txt_funcao=" TargetMode="External"/><Relationship Id="rId61" Type="http://schemas.openxmlformats.org/officeDocument/2006/relationships/hyperlink" Target="https://intra.senado.leg.br/sigad/novo/protocolo/impressao.asp?cod_protocolo=4228774&amp;area=processo" TargetMode="External"/><Relationship Id="rId82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99" Type="http://schemas.openxmlformats.org/officeDocument/2006/relationships/hyperlink" Target="https://intra.senado.leg.br/sigad/novo/protocolo/impressao.asp?area=processo&amp;cod_protocolo=4334300&amp;cod_frente_verso=&amp;cod_juntada=&amp;txt_funcao=" TargetMode="External"/><Relationship Id="rId203" Type="http://schemas.openxmlformats.org/officeDocument/2006/relationships/hyperlink" Target="https://intra.senado.leg.br/sigad/novo/protocolo/impressao.asp?cod_protocolo=4346018&amp;area=processo" TargetMode="External"/><Relationship Id="rId19" Type="http://schemas.openxmlformats.org/officeDocument/2006/relationships/hyperlink" Target="https://intra.senado.leg.br/sigad/novo/protocolo/impressao.asp?area=processo&amp;cod_protocolo=4208986&amp;cod_frente_verso=&amp;cod_juntada=&amp;txt_funcao=" TargetMode="External"/><Relationship Id="rId224" Type="http://schemas.openxmlformats.org/officeDocument/2006/relationships/hyperlink" Target="https://intra.senado.leg.br/sigad/novo/protocolo/impressao.asp?area=processo&amp;cod_protocolo=4364865&amp;cod_frente_verso=&amp;cod_juntada=&amp;txt_funcao=" TargetMode="External"/><Relationship Id="rId245" Type="http://schemas.openxmlformats.org/officeDocument/2006/relationships/hyperlink" Target="https://intra.senado.leg.br/sigad/protocolo/arquivar.asp?cod_protocolo=4398259&amp;area=processo&amp;txt_funcao=sobrestar" TargetMode="External"/><Relationship Id="rId266" Type="http://schemas.openxmlformats.org/officeDocument/2006/relationships/hyperlink" Target="https://intra.senado.leg.br/sigad/novo/protocolo/impressao.asp?area=processo&amp;cod_protocolo=4268746&amp;cod_frente_verso=&amp;cod_juntada=&amp;txt_funcao=" TargetMode="External"/><Relationship Id="rId287" Type="http://schemas.openxmlformats.org/officeDocument/2006/relationships/hyperlink" Target="https://intra.senado.leg.br/sigad/novo/protocolo/impressao.asp?cod_protocolo=4441426&amp;area=processo" TargetMode="External"/><Relationship Id="rId30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105" Type="http://schemas.openxmlformats.org/officeDocument/2006/relationships/hyperlink" Target="https://intra.senado.leg.br/sigad/novo/protocolo/impressao.asp?cod_protocolo=4241695&amp;area=documento" TargetMode="External"/><Relationship Id="rId126" Type="http://schemas.openxmlformats.org/officeDocument/2006/relationships/hyperlink" Target="https://intra.senado.leg.br/sigad/novo/protocolo/impressao.asp?area=processo&amp;cod_protocolo=4245855&amp;cod_frente_verso=&amp;cod_juntada=&amp;txt_funcao=" TargetMode="External"/><Relationship Id="rId147" Type="http://schemas.openxmlformats.org/officeDocument/2006/relationships/hyperlink" Target="https://intra.senado.leg.br/sigad/novo/protocolo/impressao.asp?cod_protocolo=4269985&amp;area=processo" TargetMode="External"/><Relationship Id="rId168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312" Type="http://schemas.openxmlformats.org/officeDocument/2006/relationships/hyperlink" Target="https://intra.senado.leg.br/sigad/novo/protocolo/impressao.asp?cod_protocolo=4457854&amp;area=processo" TargetMode="External"/><Relationship Id="rId333" Type="http://schemas.openxmlformats.org/officeDocument/2006/relationships/hyperlink" Target="https://intra.senado.leg.br/sigad/visualizador/PdfJs/web/viewer.html?cod_protocolo=4497565&amp;cod_pagina=&amp;cod_usuario=76880&amp;cod_orgao=9694&amp;token=T0EYQRR2VCDJYTY" TargetMode="External"/><Relationship Id="rId354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51" Type="http://schemas.openxmlformats.org/officeDocument/2006/relationships/hyperlink" Target="https://intra.senado.leg.br/sigad/novo/protocolo/impressao.asp?cod_protocolo=4227195" TargetMode="External"/><Relationship Id="rId72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93" Type="http://schemas.openxmlformats.org/officeDocument/2006/relationships/hyperlink" Target="https://intra.senado.leg.br/sigad/novo/protocolo/impressao.asp?cod_protocolo=4241698&amp;area=documento" TargetMode="External"/><Relationship Id="rId189" Type="http://schemas.openxmlformats.org/officeDocument/2006/relationships/hyperlink" Target="https://intra.senado.leg.br/sigad/novo/protocolo/impressao.asp?area=processo&amp;cod_protocolo=4308489&amp;cod_frente_verso=&amp;cod_juntada=&amp;txt_funcao=" TargetMode="External"/><Relationship Id="rId375" Type="http://schemas.openxmlformats.org/officeDocument/2006/relationships/hyperlink" Target="https://intra.senado.leg.br/sigad/novo/protocolo/impressao.asp?cod_protocolo=4537003" TargetMode="External"/><Relationship Id="rId3" Type="http://schemas.openxmlformats.org/officeDocument/2006/relationships/hyperlink" Target="https://intra.senado.leg.br/sigad/novo/protocolo/impressao.asp?cod_protocolo=4112999&amp;area=documento" TargetMode="External"/><Relationship Id="rId214" Type="http://schemas.openxmlformats.org/officeDocument/2006/relationships/hyperlink" Target="https://intra.senado.leg.br/sigad/visualizador/PdfJs/web/viewer.html?cod_protocolo=4355825&amp;cod_pagina=&amp;cod_usuario=82996&amp;cod_orgao=9694&amp;token=HRWVLG0D1MC3W85" TargetMode="External"/><Relationship Id="rId235" Type="http://schemas.openxmlformats.org/officeDocument/2006/relationships/hyperlink" Target="https://intra.senado.leg.br/sigad/novo/protocolo/impressao.asp?cod_protocolo=4300767&amp;area=documento" TargetMode="External"/><Relationship Id="rId256" Type="http://schemas.openxmlformats.org/officeDocument/2006/relationships/hyperlink" Target="https://intra.senado.leg.br/sigad/novo/protocolo/impressao.asp?cod_protocolo=4416641&amp;area=processo" TargetMode="External"/><Relationship Id="rId277" Type="http://schemas.openxmlformats.org/officeDocument/2006/relationships/hyperlink" Target="https://intra.senado.leg.br/sigad/visualizador/PdfJs/web/viewer.html?cod_protocolo=4437250&amp;cod_pagina=&amp;cod_usuario=76880&amp;cod_orgao=9694&amp;token=GPEFVROKM99T495" TargetMode="External"/><Relationship Id="rId298" Type="http://schemas.openxmlformats.org/officeDocument/2006/relationships/hyperlink" Target="https://intra.senado.leg.br/sigad/novo/protocolo/impressao.asp?cod_protocolo=4465131&amp;area=processo" TargetMode="External"/><Relationship Id="rId116" Type="http://schemas.openxmlformats.org/officeDocument/2006/relationships/hyperlink" Target="https://intra.senado.leg.br/sigad/novo/protocolo/impressao.asp?cod_protocolo=4252391&amp;area=processo" TargetMode="External"/><Relationship Id="rId137" Type="http://schemas.openxmlformats.org/officeDocument/2006/relationships/hyperlink" Target="https://intra.senado.leg.br/sigad/novo/protocolo/impressao.asp?cod_protocolo=4269985&amp;area=processo" TargetMode="External"/><Relationship Id="rId158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302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323" Type="http://schemas.openxmlformats.org/officeDocument/2006/relationships/hyperlink" Target="https://intra.senado.leg.br/sigad/novo/protocolo/impressao.asp?cod_protocolo=4491726" TargetMode="External"/><Relationship Id="rId344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20" Type="http://schemas.openxmlformats.org/officeDocument/2006/relationships/hyperlink" Target="https://intra.senado.leg.br/sigad/novo/protocolo/impressao.asp?area=processo&amp;cod_protocolo=4223531&amp;cod_frente_verso=&amp;cod_juntada=&amp;txt_funcao=" TargetMode="External"/><Relationship Id="rId41" Type="http://schemas.openxmlformats.org/officeDocument/2006/relationships/hyperlink" Target="https://intra.senado.leg.br/sigad/novo/protocolo/impressao.asp?cod_protocolo=4227195" TargetMode="External"/><Relationship Id="rId62" Type="http://schemas.openxmlformats.org/officeDocument/2006/relationships/hyperlink" Target="https://intra.senado.leg.br/sigad/novo/protocolo/impressao.asp?cod_protocolo=4228774&amp;area=processo" TargetMode="External"/><Relationship Id="rId83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79" Type="http://schemas.openxmlformats.org/officeDocument/2006/relationships/hyperlink" Target="https://intra.senado.leg.br/sigad/novo/protocolo/impressao.asp?cod_protocolo=4276705&amp;area=processo" TargetMode="External"/><Relationship Id="rId365" Type="http://schemas.openxmlformats.org/officeDocument/2006/relationships/hyperlink" Target="https://intra.senado.leg.br/sigad/novo/protocolo/impressao.asp?cod_protocolo=4524510" TargetMode="External"/><Relationship Id="rId190" Type="http://schemas.openxmlformats.org/officeDocument/2006/relationships/hyperlink" Target="https://intra.senado.leg.br/sigad/novo/protocolo/impressao.asp?cod_protocolo=4308919&amp;area=processo" TargetMode="External"/><Relationship Id="rId204" Type="http://schemas.openxmlformats.org/officeDocument/2006/relationships/hyperlink" Target="https://intra.senado.leg.br/sigad/novo/protocolo/impressao.asp?cod_protocolo=4347011&amp;area=processo" TargetMode="External"/><Relationship Id="rId225" Type="http://schemas.openxmlformats.org/officeDocument/2006/relationships/hyperlink" Target="https://intra.senado.leg.br/sigad/novo/protocolo/impressao.asp?cod_protocolo=4367778&amp;area=processo" TargetMode="External"/><Relationship Id="rId246" Type="http://schemas.openxmlformats.org/officeDocument/2006/relationships/hyperlink" Target="https://intra.senado.leg.br/sigad/novo/protocolo/impressao.asp?cod_protocolo=4399267&amp;area=processo" TargetMode="External"/><Relationship Id="rId267" Type="http://schemas.openxmlformats.org/officeDocument/2006/relationships/hyperlink" Target="https://intra.senado.leg.br/sigad/visualizador/PdfJs/web/viewer.html?cod_protocolo=4424941&amp;cod_pagina=&amp;cod_usuario=82996&amp;cod_orgao=9694&amp;token=11B2QYPNV1CIBX6" TargetMode="External"/><Relationship Id="rId288" Type="http://schemas.openxmlformats.org/officeDocument/2006/relationships/hyperlink" Target="https://intra.senado.leg.br/sigad/novo/protocolo/impressao.asp?area=processo&amp;cod_protocolo=4443609&amp;cod_frente_verso=&amp;cod_juntada=&amp;txt_funcao=" TargetMode="External"/><Relationship Id="rId106" Type="http://schemas.openxmlformats.org/officeDocument/2006/relationships/hyperlink" Target="https://intra.senado.leg.br/sigad/novo/protocolo/impressao.asp?cod_protocolo=4241695&amp;area=documento" TargetMode="External"/><Relationship Id="rId127" Type="http://schemas.openxmlformats.org/officeDocument/2006/relationships/hyperlink" Target="https://intra.senado.leg.br/sigad/novo/protocolo/impressao.asp?area=processo&amp;cod_protocolo=4262721&amp;cod_frente_verso=&amp;cod_juntada=&amp;txt_funcao=" TargetMode="External"/><Relationship Id="rId313" Type="http://schemas.openxmlformats.org/officeDocument/2006/relationships/hyperlink" Target="https://intra.senado.leg.br/sigad/novo/protocolo/impressao.asp?cod_protocolo=4479729&amp;area=processo" TargetMode="External"/><Relationship Id="rId10" Type="http://schemas.openxmlformats.org/officeDocument/2006/relationships/hyperlink" Target="https://intra.senado.leg.br/sigad/novo/protocolo/impressao.asp?cod_protocolo=4184491&amp;area=processo" TargetMode="External"/><Relationship Id="rId31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52" Type="http://schemas.openxmlformats.org/officeDocument/2006/relationships/hyperlink" Target="https://intra.senado.leg.br/sigad/novo/protocolo/impressao.asp?cod_protocolo=4227195" TargetMode="External"/><Relationship Id="rId73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94" Type="http://schemas.openxmlformats.org/officeDocument/2006/relationships/hyperlink" Target="https://intra.senado.leg.br/sigad/novo/protocolo/impressao.asp?cod_protocolo=4241698&amp;area=documento" TargetMode="External"/><Relationship Id="rId148" Type="http://schemas.openxmlformats.org/officeDocument/2006/relationships/hyperlink" Target="https://intra.senado.leg.br/sigad/novo/protocolo/impressao.asp?cod_protocolo=4269985&amp;area=processo" TargetMode="External"/><Relationship Id="rId169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334" Type="http://schemas.openxmlformats.org/officeDocument/2006/relationships/hyperlink" Target="https://intra.senado.leg.br/sigad/visualizador/PdfJs/web/viewer.html?cod_protocolo=4499739&amp;cod_pagina=&amp;cod_usuario=76880&amp;cod_orgao=9694&amp;token=KUMYNDXJMPJ8APS" TargetMode="External"/><Relationship Id="rId355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376" Type="http://schemas.openxmlformats.org/officeDocument/2006/relationships/hyperlink" Target="https://intra.senado.leg.br/sigad/novo/protocolo/impressao.asp?cod_protocolo=4543420" TargetMode="External"/><Relationship Id="rId4" Type="http://schemas.openxmlformats.org/officeDocument/2006/relationships/hyperlink" Target="https://intra.senado.leg.br/sigad/novo/protocolo/impressao.asp?cod_protocolo=4184491&amp;area=processo" TargetMode="External"/><Relationship Id="rId180" Type="http://schemas.openxmlformats.org/officeDocument/2006/relationships/hyperlink" Target="https://intra.senado.leg.br/sigad/novo/protocolo/impressao.asp?area=processo&amp;cod_protocolo=4276835&amp;cod_frente_verso=&amp;cod_juntada=&amp;txt_funcao=" TargetMode="External"/><Relationship Id="rId215" Type="http://schemas.openxmlformats.org/officeDocument/2006/relationships/hyperlink" Target="https://intra.senado.leg.br/sigad/novo/protocolo/impressao.asp?cod_protocolo=4356242&amp;area=documento" TargetMode="External"/><Relationship Id="rId236" Type="http://schemas.openxmlformats.org/officeDocument/2006/relationships/hyperlink" Target="https://intra.senado.leg.br/sigad/novo/protocolo/impressao.asp?cod_protocolo=4331621&amp;area=documento" TargetMode="External"/><Relationship Id="rId257" Type="http://schemas.openxmlformats.org/officeDocument/2006/relationships/hyperlink" Target="https://intra.senado.leg.br/sigad/novo/protocolo/impressao.asp?cod_protocolo=4417779&amp;area=processo" TargetMode="External"/><Relationship Id="rId278" Type="http://schemas.openxmlformats.org/officeDocument/2006/relationships/hyperlink" Target="https://intra.senado.leg.br/sigad/protocolo/impressao_arquivo.asp?cod_protocolo=4438603&amp;area=processo" TargetMode="External"/><Relationship Id="rId303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42" Type="http://schemas.openxmlformats.org/officeDocument/2006/relationships/hyperlink" Target="https://intra.senado.leg.br/sigad/novo/protocolo/impressao.asp?cod_protocolo=4227195" TargetMode="External"/><Relationship Id="rId84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38" Type="http://schemas.openxmlformats.org/officeDocument/2006/relationships/hyperlink" Target="https://intra.senado.leg.br/sigad/novo/protocolo/impressao.asp?cod_protocolo=4269985&amp;area=processo" TargetMode="External"/><Relationship Id="rId345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191" Type="http://schemas.openxmlformats.org/officeDocument/2006/relationships/hyperlink" Target="https://intra.senado.leg.br/sigad/novo/protocolo/impressao.asp?area=processo&amp;cod_protocolo=4324901&amp;cod_frente_verso=&amp;cod_juntada=&amp;txt_funcao=" TargetMode="External"/><Relationship Id="rId205" Type="http://schemas.openxmlformats.org/officeDocument/2006/relationships/hyperlink" Target="https://intra.senado.leg.br/sigad/novo/protocolo/impressao.asp?area=processo&amp;cod_protocolo=4350304&amp;cod_frente_verso=&amp;cod_juntada=&amp;txt_funcao=" TargetMode="External"/><Relationship Id="rId247" Type="http://schemas.openxmlformats.org/officeDocument/2006/relationships/hyperlink" Target="https://intra.senado.leg.br/sigad/novo/protocolo/impressao.asp?cod_protocolo=4402059&amp;area=processo" TargetMode="External"/><Relationship Id="rId107" Type="http://schemas.openxmlformats.org/officeDocument/2006/relationships/hyperlink" Target="https://intra.senado.leg.br/sigad/novo/protocolo/impressao.asp?cod_protocolo=4241695&amp;area=documento" TargetMode="External"/><Relationship Id="rId289" Type="http://schemas.openxmlformats.org/officeDocument/2006/relationships/hyperlink" Target="https://intra.senado.leg.br/sigad/novo/protocolo/impressao.asp?cod_protocolo=4446197" TargetMode="External"/><Relationship Id="rId11" Type="http://schemas.openxmlformats.org/officeDocument/2006/relationships/hyperlink" Target="https://intra.senado.leg.br/sigad/novo/protocolo/impressao.asp?cod_protocolo=4184491&amp;area=processo" TargetMode="External"/><Relationship Id="rId53" Type="http://schemas.openxmlformats.org/officeDocument/2006/relationships/hyperlink" Target="https://intra.senado.leg.br/sigad/novo/protocolo/impressao.asp?cod_protocolo=4227195" TargetMode="External"/><Relationship Id="rId149" Type="http://schemas.openxmlformats.org/officeDocument/2006/relationships/hyperlink" Target="https://intra.senado.leg.br/sigad/novo/protocolo/impressao.asp?cod_protocolo=4269985&amp;area=processo" TargetMode="External"/><Relationship Id="rId314" Type="http://schemas.openxmlformats.org/officeDocument/2006/relationships/hyperlink" Target="https://intra.senado.leg.br/sigad/novo/protocolo/impressao.asp?cod_protocolo=4478399&amp;area=processo" TargetMode="External"/><Relationship Id="rId356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95" Type="http://schemas.openxmlformats.org/officeDocument/2006/relationships/hyperlink" Target="https://intra.senado.leg.br/sigad/novo/protocolo/impressao.asp?cod_protocolo=4241698&amp;area=documento" TargetMode="External"/><Relationship Id="rId160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216" Type="http://schemas.openxmlformats.org/officeDocument/2006/relationships/hyperlink" Target="https://intra.senado.leg.br/sigad/novo/protocolo/impressao.asp?cod_protocolo=4356242&amp;area=documento" TargetMode="External"/><Relationship Id="rId258" Type="http://schemas.openxmlformats.org/officeDocument/2006/relationships/hyperlink" Target="https://intra.senado.leg.br/sigad/novo/protocolo/impressao.asp?cod_protocolo=4184491&amp;area=processo" TargetMode="External"/><Relationship Id="rId22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64" Type="http://schemas.openxmlformats.org/officeDocument/2006/relationships/hyperlink" Target="https://intra.senado.leg.br/sigad/novo/protocolo/impressao.asp?cod_protocolo=4228774&amp;area=processo" TargetMode="External"/><Relationship Id="rId118" Type="http://schemas.openxmlformats.org/officeDocument/2006/relationships/hyperlink" Target="https://intra.senado.leg.br/sigad/novo/protocolo/impressao.asp?cod_protocolo=4254318&amp;area=processo" TargetMode="External"/><Relationship Id="rId325" Type="http://schemas.openxmlformats.org/officeDocument/2006/relationships/hyperlink" Target="https://intra.senado.leg.br/sigad/novo/protocolo/impressao.asp?cod_protocolo=4495486" TargetMode="External"/><Relationship Id="rId367" Type="http://schemas.openxmlformats.org/officeDocument/2006/relationships/hyperlink" Target="https://intra.senado.leg.br/sigad/novo/protocolo/impressao.asp?area=processo&amp;cod_protocolo=4529785&amp;cod_frente_verso=&amp;cod_juntada=&amp;txt_funcao=" TargetMode="External"/><Relationship Id="rId171" Type="http://schemas.openxmlformats.org/officeDocument/2006/relationships/hyperlink" Target="https://intra.senado.leg.br/sigad/novo/protocolo/impressao.asp?area=processo&amp;cod_protocolo=4270588&amp;cod_frente_verso=&amp;cod_juntada=&amp;txt_funcao=" TargetMode="External"/><Relationship Id="rId227" Type="http://schemas.openxmlformats.org/officeDocument/2006/relationships/hyperlink" Target="https://intra.senado.leg.br/sigad/novo/protocolo/impressao.asp?area=processo&amp;cod_protocolo=4368768&amp;cod_frente_verso=&amp;cod_juntada=&amp;txt_funcao=" TargetMode="External"/><Relationship Id="rId269" Type="http://schemas.openxmlformats.org/officeDocument/2006/relationships/hyperlink" Target="https://intra.senado.leg.br/sigad/visualizador/PdfJs/web/viewer.html?cod_protocolo=4424941&amp;cod_pagina=&amp;cod_usuario=82996&amp;cod_orgao=9694&amp;token=11B2QYPNV1CIBX6" TargetMode="External"/><Relationship Id="rId33" Type="http://schemas.openxmlformats.org/officeDocument/2006/relationships/hyperlink" Target="https://intra.senado.leg.br/sigad/novo/protocolo/impressao.asp?cod_protocolo=4226567&amp;area=processo" TargetMode="External"/><Relationship Id="rId129" Type="http://schemas.openxmlformats.org/officeDocument/2006/relationships/hyperlink" Target="https://intra.senado.leg.br/sigad/novo/protocolo/impressao.asp?cod_protocolo=4260604&amp;area=processo" TargetMode="External"/><Relationship Id="rId280" Type="http://schemas.openxmlformats.org/officeDocument/2006/relationships/hyperlink" Target="https://intra.senado.leg.br/sigad/visualizador/PdfJs/web/viewer.html?cod_protocolo=4438542&amp;cod_pagina=&amp;cod_usuario=76880&amp;cod_orgao=9694&amp;token=849WBU6W9I07EB6" TargetMode="External"/><Relationship Id="rId336" Type="http://schemas.openxmlformats.org/officeDocument/2006/relationships/hyperlink" Target="https://intra.senado.leg.br/sigad/visualizador/PdfJs/web/viewer.html?cod_protocolo=4499674&amp;cod_pagina=&amp;cod_usuario=76880&amp;cod_orgao=9694&amp;token=LNJ8T2I36H28RWC" TargetMode="External"/><Relationship Id="rId75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40" Type="http://schemas.openxmlformats.org/officeDocument/2006/relationships/hyperlink" Target="https://intra.senado.leg.br/sigad/novo/protocolo/impressao.asp?cod_protocolo=4269985&amp;area=processo" TargetMode="External"/><Relationship Id="rId182" Type="http://schemas.openxmlformats.org/officeDocument/2006/relationships/hyperlink" Target="https://intra.senado.leg.br/sigad/novo/protocolo/impressao.asp?cod_protocolo=4287592&amp;area=processo" TargetMode="External"/><Relationship Id="rId6" Type="http://schemas.openxmlformats.org/officeDocument/2006/relationships/hyperlink" Target="https://intra.senado.leg.br/sigad/novo/protocolo/impressao.asp?cod_protocolo=4184491&amp;area=processo" TargetMode="External"/><Relationship Id="rId238" Type="http://schemas.openxmlformats.org/officeDocument/2006/relationships/hyperlink" Target="https://intra.senado.leg.br/sigad/novo/protocolo/impressao.asp?cod_protocolo=4377272&amp;area=documento" TargetMode="External"/><Relationship Id="rId291" Type="http://schemas.openxmlformats.org/officeDocument/2006/relationships/hyperlink" Target="https://intra.senado.leg.br/sigad/novo/protocolo/impressao.asp?cod_protocolo=4448321&amp;area=processo" TargetMode="External"/><Relationship Id="rId305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347" Type="http://schemas.openxmlformats.org/officeDocument/2006/relationships/hyperlink" Target="https://intra.senado.leg.br/sigad/novo/protocolo/impressao.asp?area=processo&amp;cod_protocolo=4476966&amp;cod_frente_verso=&amp;cod_juntada=&amp;txt_funcao=" TargetMode="External"/><Relationship Id="rId44" Type="http://schemas.openxmlformats.org/officeDocument/2006/relationships/hyperlink" Target="https://intra.senado.leg.br/sigad/novo/protocolo/impressao.asp?cod_protocolo=4227195" TargetMode="External"/><Relationship Id="rId86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51" Type="http://schemas.openxmlformats.org/officeDocument/2006/relationships/hyperlink" Target="https://intra.senado.leg.br/sigad/novo/protocolo/impressao.asp?cod_protocolo=4270750&amp;area=processo" TargetMode="External"/><Relationship Id="rId193" Type="http://schemas.openxmlformats.org/officeDocument/2006/relationships/hyperlink" Target="https://intra.senado.leg.br/sigad/novo/protocolo/impressao.asp?area=processo&amp;cod_protocolo=4321952&amp;cod_frente_verso=&amp;cod_juntada=&amp;txt_funcao=" TargetMode="External"/><Relationship Id="rId207" Type="http://schemas.openxmlformats.org/officeDocument/2006/relationships/hyperlink" Target="https://intra.senado.leg.br/sigad/novo/protocolo/impressao.asp?area=processo&amp;cod_protocolo=4351914&amp;cod_frente_verso=&amp;cod_juntada=&amp;txt_funcao=" TargetMode="External"/><Relationship Id="rId249" Type="http://schemas.openxmlformats.org/officeDocument/2006/relationships/hyperlink" Target="https://intra.senado.leg.br/sigad/novo/protocolo/impressao.asp?area=processo&amp;cod_protocolo=4404006&amp;cod_frente_verso=&amp;cod_juntada=&amp;txt_funcao=" TargetMode="External"/><Relationship Id="rId13" Type="http://schemas.openxmlformats.org/officeDocument/2006/relationships/hyperlink" Target="https://intra.senado.leg.br/sigad/novo/protocolo/impressao.asp?cod_protocolo=4184491&amp;area=processo" TargetMode="External"/><Relationship Id="rId109" Type="http://schemas.openxmlformats.org/officeDocument/2006/relationships/hyperlink" Target="https://intra.senado.leg.br/sigad/novo/protocolo/impressao.asp?cod_protocolo=4245944&amp;area=documento" TargetMode="External"/><Relationship Id="rId260" Type="http://schemas.openxmlformats.org/officeDocument/2006/relationships/hyperlink" Target="https://intra.senado.leg.br/sigad/novo/protocolo/impressao.asp?area=processo&amp;cod_protocolo=4415708&amp;cod_frente_verso=&amp;cod_juntada=&amp;txt_funcao=" TargetMode="External"/><Relationship Id="rId316" Type="http://schemas.openxmlformats.org/officeDocument/2006/relationships/hyperlink" Target="https://intra.senado.leg.br/sigad/novo/protocolo/impressao.asp?area=processo&amp;cod_protocolo=4483968&amp;cod_frente_verso=&amp;cod_juntada=&amp;txt_funcao=" TargetMode="External"/><Relationship Id="rId55" Type="http://schemas.openxmlformats.org/officeDocument/2006/relationships/hyperlink" Target="https://intra.senado.leg.br/sigad/novo/protocolo/impressao.asp?cod_protocolo=4227195" TargetMode="External"/><Relationship Id="rId97" Type="http://schemas.openxmlformats.org/officeDocument/2006/relationships/hyperlink" Target="https://intra.senado.leg.br/sigad/novo/protocolo/impressao.asp?cod_protocolo=4241698&amp;area=documento" TargetMode="External"/><Relationship Id="rId120" Type="http://schemas.openxmlformats.org/officeDocument/2006/relationships/hyperlink" Target="https://intra.senado.leg.br/sigad/novo/protocolo/impressao.asp?area=processo&amp;cod_protocolo=4227921&amp;cod_frente_verso=&amp;cod_juntada=&amp;txt_funcao=" TargetMode="External"/><Relationship Id="rId358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162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218" Type="http://schemas.openxmlformats.org/officeDocument/2006/relationships/hyperlink" Target="https://intra.senado.leg.br/sigad/visualizador/PdfJs/web/viewer.html?cod_protocolo=4360332&amp;cod_pagina=&amp;cod_usuario=82996&amp;cod_orgao=9694&amp;token=OKHCHVF3XRDPT3Q" TargetMode="External"/><Relationship Id="rId271" Type="http://schemas.openxmlformats.org/officeDocument/2006/relationships/hyperlink" Target="https://intra.senado.leg.br/sigad/novo/protocolo/impressao.asp?cod_protocolo=4430836&amp;area=processo" TargetMode="External"/><Relationship Id="rId24" Type="http://schemas.openxmlformats.org/officeDocument/2006/relationships/hyperlink" Target="https://intra.senado.leg.br/sigad/novo/protocolo/impressao.asp?area=processo&amp;cod_protocolo=4223434&amp;cod_frente_verso=&amp;cod_juntada=&amp;txt_funcao=" TargetMode="External"/><Relationship Id="rId66" Type="http://schemas.openxmlformats.org/officeDocument/2006/relationships/hyperlink" Target="https://intra.senado.leg.br/sigad/novo/protocolo/impressao.asp?cod_protocolo=4228774&amp;area=processo" TargetMode="External"/><Relationship Id="rId131" Type="http://schemas.openxmlformats.org/officeDocument/2006/relationships/hyperlink" Target="https://intra.senado.leg.br/sigad/novo/protocolo/impressao.asp?cod_protocolo=4268675&amp;area=processo" TargetMode="External"/><Relationship Id="rId327" Type="http://schemas.openxmlformats.org/officeDocument/2006/relationships/hyperlink" Target="https://intra.senado.leg.br/sigad/visualizador/PdfJs/web/viewer.html?cod_protocolo=4496789&amp;cod_pagina=&amp;cod_usuario=76880&amp;cod_orgao=9694&amp;token=H9WISM8JT8IQJL8" TargetMode="External"/><Relationship Id="rId369" Type="http://schemas.openxmlformats.org/officeDocument/2006/relationships/hyperlink" Target="https://intra.senado.leg.br/sigad/novo/protocolo/impressao.asp?cod_protocolo=4533882&amp;area=processo" TargetMode="External"/><Relationship Id="rId173" Type="http://schemas.openxmlformats.org/officeDocument/2006/relationships/hyperlink" Target="https://intra.senado.leg.br/sigad/novo/protocolo/impressao.asp?cod_protocolo=4274050&amp;area=processo" TargetMode="External"/><Relationship Id="rId229" Type="http://schemas.openxmlformats.org/officeDocument/2006/relationships/hyperlink" Target="https://intra.senado.leg.br/sigad/novo/protocolo/impressao.asp?area=processo&amp;cod_protocolo=4372269&amp;cod_frente_verso=&amp;cod_juntada=&amp;txt_funcao=" TargetMode="External"/><Relationship Id="rId240" Type="http://schemas.openxmlformats.org/officeDocument/2006/relationships/hyperlink" Target="https://intra.senado.leg.br/sigad/novo/protocolo/impressao.asp?cod_protocolo=4377286&amp;area=documento" TargetMode="External"/><Relationship Id="rId35" Type="http://schemas.openxmlformats.org/officeDocument/2006/relationships/hyperlink" Target="https://intra.senado.leg.br/sigad/novo/protocolo/impressao.asp?cod_protocolo=4226567&amp;area=processo" TargetMode="External"/><Relationship Id="rId77" Type="http://schemas.openxmlformats.org/officeDocument/2006/relationships/hyperlink" Target="https://intra.senado.leg.br/sigad/novo/protocolo/impressao.asp?area=processo&amp;cod_protocolo=4236444&amp;cod_frente_verso=&amp;cod_juntada=&amp;txt_funcao=" TargetMode="External"/><Relationship Id="rId100" Type="http://schemas.openxmlformats.org/officeDocument/2006/relationships/hyperlink" Target="https://intra.senado.leg.br/sigad/novo/protocolo/impressao.asp?cod_protocolo=4241698&amp;area=documento" TargetMode="External"/><Relationship Id="rId282" Type="http://schemas.openxmlformats.org/officeDocument/2006/relationships/hyperlink" Target="https://intra.senado.leg.br/sigad/novo/protocolo/impressao.asp?cod_protocolo=4424781&amp;area=processo" TargetMode="External"/><Relationship Id="rId338" Type="http://schemas.openxmlformats.org/officeDocument/2006/relationships/hyperlink" Target="https://intra.senado.leg.br/sigad/novo/protocolo/impressao.asp?cod_protocolo=4495813&amp;area=processo" TargetMode="External"/><Relationship Id="rId8" Type="http://schemas.openxmlformats.org/officeDocument/2006/relationships/hyperlink" Target="https://intra.senado.leg.br/sigad/novo/protocolo/impressao.asp?cod_protocolo=4184491&amp;area=processo" TargetMode="External"/><Relationship Id="rId142" Type="http://schemas.openxmlformats.org/officeDocument/2006/relationships/hyperlink" Target="https://intra.senado.leg.br/sigad/novo/protocolo/impressao.asp?cod_protocolo=4269985&amp;area=processo" TargetMode="External"/><Relationship Id="rId184" Type="http://schemas.openxmlformats.org/officeDocument/2006/relationships/hyperlink" Target="https://intra.senado.leg.br/sigad/novo/protocolo/impressao.asp?cod_protocolo=4289676&amp;area=documento" TargetMode="External"/><Relationship Id="rId251" Type="http://schemas.openxmlformats.org/officeDocument/2006/relationships/hyperlink" Target="https://intra.senado.leg.br/sigad/novo/protocolo/impressao.asp?cod_protocolo=4403398&amp;area=processo" TargetMode="External"/><Relationship Id="rId46" Type="http://schemas.openxmlformats.org/officeDocument/2006/relationships/hyperlink" Target="https://intra.senado.leg.br/sigad/novo/protocolo/impressao.asp?cod_protocolo=4227195" TargetMode="External"/><Relationship Id="rId293" Type="http://schemas.openxmlformats.org/officeDocument/2006/relationships/hyperlink" Target="https://intra.senado.leg.br/sigad/novo/protocolo/impressao.asp?cod_protocolo=4452867&amp;area=processo" TargetMode="External"/><Relationship Id="rId307" Type="http://schemas.openxmlformats.org/officeDocument/2006/relationships/hyperlink" Target="https://intra.senado.leg.br/sigad/novo/protocolo/impressao.asp?area=processo&amp;cod_protocolo=4469345&amp;cod_frente_verso=&amp;cod_juntada=&amp;txt_funcao=" TargetMode="External"/><Relationship Id="rId349" Type="http://schemas.openxmlformats.org/officeDocument/2006/relationships/hyperlink" Target="https://intra.senado.leg.br/sigad/novo/protocolo/impressao.asp?area=processo&amp;cod_protocolo=4500061&amp;cod_frente_verso=&amp;cod_juntada=&amp;txt_funcao=" TargetMode="External"/><Relationship Id="rId88" Type="http://schemas.openxmlformats.org/officeDocument/2006/relationships/hyperlink" Target="https://intra.senado.leg.br/sigad/novo/protocolo/impressao.asp?cod_protocolo=4241693&amp;area=documento" TargetMode="External"/><Relationship Id="rId111" Type="http://schemas.openxmlformats.org/officeDocument/2006/relationships/hyperlink" Target="https://intra.senado.leg.br/sigad/novo/protocolo/impressao.asp?cod_protocolo=4245649&amp;area=processo" TargetMode="External"/><Relationship Id="rId153" Type="http://schemas.openxmlformats.org/officeDocument/2006/relationships/hyperlink" Target="https://intra.senado.leg.br/sigad/novo/protocolo/impressao.asp?area=processo&amp;cod_protocolo=4269913&amp;cod_frente_verso=&amp;cod_juntada=&amp;txt_funcao=" TargetMode="External"/><Relationship Id="rId195" Type="http://schemas.openxmlformats.org/officeDocument/2006/relationships/hyperlink" Target="https://intra.senado.leg.br/sigad/novo/protocolo/impressao.asp?cod_protocolo=4329047&amp;area=processo" TargetMode="External"/><Relationship Id="rId209" Type="http://schemas.openxmlformats.org/officeDocument/2006/relationships/hyperlink" Target="https://intra.senado.leg.br/sigad/protocolo/impressao_arquivo.asp?cod_protocolo=4351929&amp;area=documento" TargetMode="External"/><Relationship Id="rId360" Type="http://schemas.openxmlformats.org/officeDocument/2006/relationships/hyperlink" Target="https://intra.senado.leg.br/sigad/novo/protocolo/impressao.asp?area=processo&amp;cod_protocolo=4501285&amp;cod_frente_verso=&amp;cod_juntada=&amp;txt_funcao=" TargetMode="External"/><Relationship Id="rId220" Type="http://schemas.openxmlformats.org/officeDocument/2006/relationships/hyperlink" Target="https://intra.senado.leg.br/sigad/novo/protocolo/impressao.asp?cod_protocolo=4352531&amp;area=processo" TargetMode="External"/><Relationship Id="rId15" Type="http://schemas.openxmlformats.org/officeDocument/2006/relationships/hyperlink" Target="https://intra.senado.leg.br/sigad/novo/protocolo/impressao.asp?cod_protocolo=4194913&amp;area=processo" TargetMode="External"/><Relationship Id="rId57" Type="http://schemas.openxmlformats.org/officeDocument/2006/relationships/hyperlink" Target="https://intra.senado.leg.br/sigad/novo/protocolo/impressao.asp?cod_protocolo=4228774&amp;area=processo" TargetMode="External"/><Relationship Id="rId262" Type="http://schemas.openxmlformats.org/officeDocument/2006/relationships/hyperlink" Target="https://intra.senado.leg.br/sigad/novo/protocolo/impressao.asp?area=processo&amp;cod_protocolo=4417988&amp;cod_frente_verso=&amp;cod_juntada=&amp;txt_funcao=" TargetMode="External"/><Relationship Id="rId318" Type="http://schemas.openxmlformats.org/officeDocument/2006/relationships/hyperlink" Target="https://intra.senado.leg.br/sigad/novo/protocolo/impressao.asp?cod_protocolo=4477362&amp;area=process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0F6FA-BE74-48A9-9D8F-5CB749F2537A}">
  <sheetPr codeName="Planilha1"/>
  <dimension ref="A1:L411"/>
  <sheetViews>
    <sheetView tabSelected="1" topLeftCell="H405" zoomScaleNormal="100" workbookViewId="0">
      <selection activeCell="K403" sqref="K403:K411"/>
    </sheetView>
  </sheetViews>
  <sheetFormatPr defaultRowHeight="15" x14ac:dyDescent="0.25"/>
  <cols>
    <col min="1" max="1" width="13" customWidth="1"/>
    <col min="2" max="2" width="13.42578125" bestFit="1" customWidth="1"/>
    <col min="3" max="3" width="40.7109375" bestFit="1" customWidth="1"/>
    <col min="4" max="4" width="21.42578125" bestFit="1" customWidth="1"/>
    <col min="5" max="5" width="41.140625" customWidth="1"/>
    <col min="6" max="6" width="32.42578125" customWidth="1"/>
    <col min="7" max="7" width="16" customWidth="1"/>
    <col min="8" max="8" width="15.42578125" customWidth="1"/>
    <col min="9" max="9" width="16" customWidth="1"/>
    <col min="10" max="10" width="23.85546875" bestFit="1" customWidth="1"/>
    <col min="11" max="11" width="160.42578125" bestFit="1" customWidth="1"/>
    <col min="12" max="12" width="160.28515625" bestFit="1" customWidth="1"/>
  </cols>
  <sheetData>
    <row r="1" spans="1:12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89" t="s">
        <v>8</v>
      </c>
      <c r="J1" s="1" t="s">
        <v>717</v>
      </c>
      <c r="K1" s="1" t="s">
        <v>718</v>
      </c>
      <c r="L1" s="1" t="s">
        <v>719</v>
      </c>
    </row>
    <row r="2" spans="1:12" ht="15" customHeight="1" x14ac:dyDescent="0.25">
      <c r="A2" s="138"/>
      <c r="B2" s="105">
        <v>45645</v>
      </c>
      <c r="C2" s="107" t="s">
        <v>9</v>
      </c>
      <c r="D2" s="273" t="s">
        <v>10</v>
      </c>
      <c r="E2" s="378" t="s">
        <v>11</v>
      </c>
      <c r="F2" s="107" t="s">
        <v>12</v>
      </c>
      <c r="G2" s="147" t="s">
        <v>13</v>
      </c>
      <c r="H2" s="92"/>
      <c r="I2" s="197" t="s">
        <v>14</v>
      </c>
      <c r="J2" s="91" t="str" cm="1">
        <f t="array" ref="J2">NomeDaCor(A2)</f>
        <v>Roxo</v>
      </c>
      <c r="K2" s="450" t="str" cm="1">
        <f t="array" ref="K2">ExtrairHiperlink(D2)</f>
        <v>https://intra.senado.leg.br/sigad/novo/protocolo/impressao.asp?cod_protocolo=4185197&amp;area=processo</v>
      </c>
      <c r="L2" t="str" cm="1">
        <f t="array" ref="L2">ExtrairHiperlink(E2)</f>
        <v/>
      </c>
    </row>
    <row r="3" spans="1:12" x14ac:dyDescent="0.25">
      <c r="A3" s="170"/>
      <c r="B3" s="131"/>
      <c r="C3" s="142"/>
      <c r="D3" s="273"/>
      <c r="E3" s="451"/>
      <c r="F3" s="142"/>
      <c r="G3" s="169"/>
      <c r="H3" s="153"/>
      <c r="I3" s="198"/>
      <c r="J3" s="91" t="str" cm="1">
        <f t="array" ref="J3">NomeDaCor(A3)</f>
        <v>Roxo</v>
      </c>
      <c r="K3" s="450" t="str" cm="1">
        <f t="array" ref="K3">ExtrairHiperlink(D3)</f>
        <v>https://intra.senado.leg.br/sigad/novo/protocolo/impressao.asp?cod_protocolo=4185197&amp;area=processo</v>
      </c>
      <c r="L3" t="str" cm="1">
        <f t="array" ref="L3">ExtrairHiperlink(E3)</f>
        <v/>
      </c>
    </row>
    <row r="4" spans="1:12" x14ac:dyDescent="0.25">
      <c r="A4" s="170"/>
      <c r="B4" s="105">
        <v>45297</v>
      </c>
      <c r="C4" s="107" t="s">
        <v>15</v>
      </c>
      <c r="D4" s="132" t="s">
        <v>16</v>
      </c>
      <c r="E4" s="449" t="s">
        <v>17</v>
      </c>
      <c r="F4" s="142"/>
      <c r="G4" s="169"/>
      <c r="H4" s="153"/>
      <c r="I4" s="198"/>
      <c r="J4" s="91" t="str" cm="1">
        <f t="array" ref="J4">NomeDaCor(A4)</f>
        <v>Roxo</v>
      </c>
      <c r="K4" s="450" t="str" cm="1">
        <f t="array" ref="K4">ExtrairHiperlink(D4)</f>
        <v>https://intra.senado.leg.br/sigad/novo/protocolo/impressao.asp?cod_protocolo=4194913&amp;area=processo</v>
      </c>
      <c r="L4" t="str" cm="1">
        <f t="array" ref="L4">ExtrairHiperlink(E4)</f>
        <v>https://intra.senado.leg.br/sigad/novo/protocolo/impressao.asp?area=processo&amp;cod_protocolo=4195411&amp;cod_frente_verso=&amp;cod_juntada=&amp;txt_funcao=</v>
      </c>
    </row>
    <row r="5" spans="1:12" x14ac:dyDescent="0.25">
      <c r="A5" s="139"/>
      <c r="B5" s="106"/>
      <c r="C5" s="109"/>
      <c r="D5" s="146"/>
      <c r="E5" s="379"/>
      <c r="F5" s="109"/>
      <c r="G5" s="171"/>
      <c r="H5" s="93"/>
      <c r="I5" s="199"/>
      <c r="J5" s="91" t="str" cm="1">
        <f t="array" ref="J5">NomeDaCor(A5)</f>
        <v>Roxo</v>
      </c>
      <c r="K5" s="450" t="str" cm="1">
        <f t="array" ref="K5">ExtrairHiperlink(D5)</f>
        <v>https://intra.senado.leg.br/sigad/novo/protocolo/impressao.asp?cod_protocolo=4194913&amp;area=processo</v>
      </c>
      <c r="L5" t="str" cm="1">
        <f t="array" ref="L5">ExtrairHiperlink(E5)</f>
        <v>https://intra.senado.leg.br/sigad/novo/protocolo/impressao.asp?area=processo&amp;cod_protocolo=4195411&amp;cod_frente_verso=&amp;cod_juntada=&amp;txt_funcao=</v>
      </c>
    </row>
    <row r="6" spans="1:12" ht="60" x14ac:dyDescent="0.25">
      <c r="A6" s="154" t="s">
        <v>18</v>
      </c>
      <c r="B6" s="155">
        <v>45671</v>
      </c>
      <c r="C6" s="156" t="s">
        <v>19</v>
      </c>
      <c r="D6" s="157" t="s">
        <v>20</v>
      </c>
      <c r="E6" s="5" t="s">
        <v>21</v>
      </c>
      <c r="F6" s="156" t="s">
        <v>22</v>
      </c>
      <c r="G6" s="148" t="s">
        <v>23</v>
      </c>
      <c r="H6" s="150"/>
      <c r="I6" s="151" t="s">
        <v>24</v>
      </c>
      <c r="J6" s="91" t="str" cm="1">
        <f t="array" ref="J6">NomeDaCor(A6)</f>
        <v>Preto</v>
      </c>
      <c r="K6" s="450" t="str" cm="1">
        <f t="array" ref="K6">ExtrairHiperlink(D6)</f>
        <v>https://intra.senado.leg.br/sigad/novo/protocolo/impressao.asp?cod_protocolo=4203288&amp;area=processo</v>
      </c>
      <c r="L6" t="str" cm="1">
        <f t="array" ref="L6">ExtrairHiperlink(E6)</f>
        <v>https://intra.senado.leg.br/sigad/novo/protocolo/impressao.asp?area=processo&amp;cod_protocolo=4208986&amp;cod_frente_verso=&amp;cod_juntada=&amp;txt_funcao=</v>
      </c>
    </row>
    <row r="7" spans="1:12" ht="81" x14ac:dyDescent="0.25">
      <c r="A7" s="115"/>
      <c r="B7" s="224"/>
      <c r="C7" s="119"/>
      <c r="D7" s="158"/>
      <c r="E7" s="6" t="s">
        <v>25</v>
      </c>
      <c r="F7" s="119"/>
      <c r="G7" s="127"/>
      <c r="H7" s="128"/>
      <c r="I7" s="130"/>
      <c r="J7" s="91" t="str" cm="1">
        <f t="array" ref="J7">NomeDaCor(A7)</f>
        <v>Preto</v>
      </c>
      <c r="K7" s="450" t="str" cm="1">
        <f t="array" ref="K7">ExtrairHiperlink(D7)</f>
        <v>https://intra.senado.leg.br/sigad/novo/protocolo/impressao.asp?cod_protocolo=4203288&amp;area=processo</v>
      </c>
      <c r="L7" t="str" cm="1">
        <f t="array" ref="L7">ExtrairHiperlink(E7)</f>
        <v>https://intra.senado.leg.br/sigad/novo/protocolo/impressao.asp?area=processo&amp;cod_protocolo=4208986&amp;cod_frente_verso=&amp;cod_juntada=&amp;txt_funcao=</v>
      </c>
    </row>
    <row r="8" spans="1:12" ht="60" x14ac:dyDescent="0.25">
      <c r="A8" s="138"/>
      <c r="B8" s="105">
        <v>45652</v>
      </c>
      <c r="C8" s="107" t="s">
        <v>26</v>
      </c>
      <c r="D8" s="100" t="s">
        <v>27</v>
      </c>
      <c r="E8" s="2" t="s">
        <v>28</v>
      </c>
      <c r="F8" s="107" t="s">
        <v>29</v>
      </c>
      <c r="G8" s="110">
        <v>45692</v>
      </c>
      <c r="H8" s="92"/>
      <c r="I8" s="197" t="s">
        <v>30</v>
      </c>
      <c r="J8" s="91" t="str" cm="1">
        <f t="array" ref="J8">NomeDaCor(A8)</f>
        <v>Roxo</v>
      </c>
      <c r="K8" s="450" t="str" cm="1">
        <f t="array" ref="K8">ExtrairHiperlink(D8)</f>
        <v>https://intra.senado.leg.br/sigad/novo/protocolo/impressao.asp?cod_protocolo=4184491&amp;area=processo</v>
      </c>
      <c r="L8" t="str" cm="1">
        <f t="array" ref="L8">ExtrairHiperlink(E8)</f>
        <v>https://intra.senado.leg.br/sigad/novo/protocolo/impressao.asp?area=processo&amp;cod_protocolo=4223434&amp;cod_frente_verso=&amp;cod_juntada=&amp;txt_funcao=</v>
      </c>
    </row>
    <row r="9" spans="1:12" ht="81" x14ac:dyDescent="0.25">
      <c r="A9" s="139"/>
      <c r="B9" s="106"/>
      <c r="C9" s="108"/>
      <c r="D9" s="397"/>
      <c r="E9" s="7" t="s">
        <v>25</v>
      </c>
      <c r="F9" s="365"/>
      <c r="G9" s="111"/>
      <c r="H9" s="93"/>
      <c r="I9" s="199"/>
      <c r="J9" s="91" t="str" cm="1">
        <f t="array" ref="J9">NomeDaCor(A9)</f>
        <v>Roxo</v>
      </c>
      <c r="K9" s="450" t="str" cm="1">
        <f t="array" ref="K9">ExtrairHiperlink(D9)</f>
        <v>https://intra.senado.leg.br/sigad/novo/protocolo/impressao.asp?cod_protocolo=4184491&amp;area=processo</v>
      </c>
      <c r="L9" t="str" cm="1">
        <f t="array" ref="L9">ExtrairHiperlink(E9)</f>
        <v>https://intra.senado.leg.br/sigad/novo/protocolo/impressao.asp?area=processo&amp;cod_protocolo=4223434&amp;cod_frente_verso=&amp;cod_juntada=&amp;txt_funcao=</v>
      </c>
    </row>
    <row r="10" spans="1:12" ht="60" x14ac:dyDescent="0.25">
      <c r="A10" s="446"/>
      <c r="B10" s="105">
        <v>45579</v>
      </c>
      <c r="C10" s="107" t="s">
        <v>31</v>
      </c>
      <c r="D10" s="132" t="s">
        <v>32</v>
      </c>
      <c r="E10" s="8" t="s">
        <v>33</v>
      </c>
      <c r="F10" s="107" t="s">
        <v>34</v>
      </c>
      <c r="G10" s="147" t="s">
        <v>35</v>
      </c>
      <c r="H10" s="438"/>
      <c r="I10" s="197" t="s">
        <v>36</v>
      </c>
      <c r="J10" s="91" t="str" cm="1">
        <f t="array" ref="J10">NomeDaCor(A10)</f>
        <v>Azul</v>
      </c>
      <c r="K10" s="450" t="str" cm="1">
        <f t="array" ref="K10">ExtrairHiperlink(D10)</f>
        <v>https://intra.senado.leg.br/sigad/novo/protocolo/impressao.asp?cod_protocolo=4106033&amp;area=processo</v>
      </c>
      <c r="L10" t="str" cm="1">
        <f t="array" ref="L10">ExtrairHiperlink(E10)</f>
        <v>https://intra.senado.leg.br/sigad/novo/protocolo/impressao.asp?cod_protocolo=4112999&amp;area=documento</v>
      </c>
    </row>
    <row r="11" spans="1:12" ht="81" x14ac:dyDescent="0.25">
      <c r="A11" s="447"/>
      <c r="B11" s="106"/>
      <c r="C11" s="109"/>
      <c r="D11" s="366"/>
      <c r="E11" s="7" t="s">
        <v>25</v>
      </c>
      <c r="F11" s="448"/>
      <c r="G11" s="111"/>
      <c r="H11" s="108"/>
      <c r="I11" s="199"/>
      <c r="J11" s="91" t="str" cm="1">
        <f t="array" ref="J11">NomeDaCor(A11)</f>
        <v>Azul</v>
      </c>
      <c r="K11" s="450" t="str" cm="1">
        <f t="array" ref="K11">ExtrairHiperlink(D11)</f>
        <v>https://intra.senado.leg.br/sigad/novo/protocolo/impressao.asp?cod_protocolo=4106033&amp;area=processo</v>
      </c>
      <c r="L11" t="str" cm="1">
        <f t="array" ref="L11">ExtrairHiperlink(E11)</f>
        <v>https://intra.senado.leg.br/sigad/novo/protocolo/impressao.asp?cod_protocolo=4112999&amp;area=documento</v>
      </c>
    </row>
    <row r="12" spans="1:12" ht="60" x14ac:dyDescent="0.25">
      <c r="A12" s="443"/>
      <c r="B12" s="105">
        <v>45693</v>
      </c>
      <c r="C12" s="107" t="s">
        <v>37</v>
      </c>
      <c r="D12" s="132" t="s">
        <v>38</v>
      </c>
      <c r="E12" s="2" t="s">
        <v>39</v>
      </c>
      <c r="F12" s="107" t="s">
        <v>40</v>
      </c>
      <c r="G12" s="147" t="s">
        <v>41</v>
      </c>
      <c r="H12" s="438"/>
      <c r="I12" s="197" t="s">
        <v>36</v>
      </c>
      <c r="J12" s="91" t="str" cm="1">
        <f t="array" ref="J12">NomeDaCor(A12)</f>
        <v>Roxo</v>
      </c>
      <c r="K12" s="450" t="str" cm="1">
        <f t="array" ref="K12">ExtrairHiperlink(D12)</f>
        <v>https://intra.senado.leg.br/sigad/novo/protocolo/impressao.asp?cod_protocolo=4227195</v>
      </c>
      <c r="L12" t="str" cm="1">
        <f t="array" ref="L12">ExtrairHiperlink(E12)</f>
        <v>https://intra.senado.leg.br/sigad/novo/protocolo/impressao.asp?area=processo&amp;cod_protocolo=4236444&amp;cod_frente_verso=&amp;cod_juntada=&amp;txt_funcao=</v>
      </c>
    </row>
    <row r="13" spans="1:12" ht="81" x14ac:dyDescent="0.25">
      <c r="A13" s="444"/>
      <c r="B13" s="106"/>
      <c r="C13" s="109"/>
      <c r="D13" s="146"/>
      <c r="E13" s="7" t="s">
        <v>25</v>
      </c>
      <c r="F13" s="108"/>
      <c r="G13" s="111"/>
      <c r="H13" s="134"/>
      <c r="I13" s="198"/>
      <c r="J13" s="91" t="str" cm="1">
        <f t="array" ref="J13">NomeDaCor(A13)</f>
        <v>Roxo</v>
      </c>
      <c r="K13" s="450" t="str" cm="1">
        <f t="array" ref="K13">ExtrairHiperlink(D13)</f>
        <v>https://intra.senado.leg.br/sigad/novo/protocolo/impressao.asp?cod_protocolo=4227195</v>
      </c>
      <c r="L13" t="str" cm="1">
        <f t="array" ref="L13">ExtrairHiperlink(E13)</f>
        <v>https://intra.senado.leg.br/sigad/novo/protocolo/impressao.asp?area=processo&amp;cod_protocolo=4236444&amp;cod_frente_verso=&amp;cod_juntada=&amp;txt_funcao=</v>
      </c>
    </row>
    <row r="14" spans="1:12" ht="60" x14ac:dyDescent="0.25">
      <c r="A14" s="444"/>
      <c r="B14" s="105">
        <v>45673</v>
      </c>
      <c r="C14" s="344" t="s">
        <v>42</v>
      </c>
      <c r="D14" s="132" t="s">
        <v>43</v>
      </c>
      <c r="E14" s="9" t="s">
        <v>44</v>
      </c>
      <c r="F14" s="107" t="s">
        <v>45</v>
      </c>
      <c r="G14" s="110">
        <v>45706</v>
      </c>
      <c r="H14" s="134"/>
      <c r="I14" s="198"/>
      <c r="J14" s="91" t="str" cm="1">
        <f t="array" ref="J14">NomeDaCor(A14)</f>
        <v>Roxo</v>
      </c>
      <c r="K14" s="450" t="str" cm="1">
        <f t="array" ref="K14">ExtrairHiperlink(D14)</f>
        <v>https://intra.senado.leg.br/sigad/novo/protocolo/impressao.asp?cod_protocolo=4202078&amp;area=processo</v>
      </c>
      <c r="L14" t="str" cm="1">
        <f t="array" ref="L14">ExtrairHiperlink(E14)</f>
        <v>https://intra.senado.leg.br/sigad/novo/protocolo/impressao.asp?area=processo&amp;cod_protocolo=4223531&amp;cod_frente_verso=&amp;cod_juntada=&amp;txt_funcao=</v>
      </c>
    </row>
    <row r="15" spans="1:12" ht="81" x14ac:dyDescent="0.25">
      <c r="A15" s="445"/>
      <c r="B15" s="106"/>
      <c r="C15" s="441"/>
      <c r="D15" s="146"/>
      <c r="E15" s="10" t="s">
        <v>46</v>
      </c>
      <c r="F15" s="109"/>
      <c r="G15" s="111"/>
      <c r="H15" s="108"/>
      <c r="I15" s="199"/>
      <c r="J15" s="91" t="str" cm="1">
        <f t="array" ref="J15">NomeDaCor(A15)</f>
        <v>Roxo</v>
      </c>
      <c r="K15" s="450" t="str" cm="1">
        <f t="array" ref="K15">ExtrairHiperlink(D15)</f>
        <v>https://intra.senado.leg.br/sigad/novo/protocolo/impressao.asp?cod_protocolo=4202078&amp;area=processo</v>
      </c>
      <c r="L15" t="str" cm="1">
        <f t="array" ref="L15">ExtrairHiperlink(E15)</f>
        <v>https://intra.senado.leg.br/sigad/novo/protocolo/impressao.asp?area=processo&amp;cod_protocolo=4223531&amp;cod_frente_verso=&amp;cod_juntada=&amp;txt_funcao=</v>
      </c>
    </row>
    <row r="16" spans="1:12" ht="60" x14ac:dyDescent="0.25">
      <c r="A16" s="11" t="s">
        <v>47</v>
      </c>
      <c r="B16" s="105">
        <v>45707</v>
      </c>
      <c r="C16" s="145" t="s">
        <v>48</v>
      </c>
      <c r="D16" s="132" t="s">
        <v>49</v>
      </c>
      <c r="E16" s="2" t="s">
        <v>50</v>
      </c>
      <c r="F16" s="107" t="s">
        <v>51</v>
      </c>
      <c r="G16" s="147" t="s">
        <v>52</v>
      </c>
      <c r="H16" s="438"/>
      <c r="I16" s="197" t="s">
        <v>53</v>
      </c>
      <c r="J16" s="91" t="str" cm="1">
        <f t="array" ref="J16">NomeDaCor(A16)</f>
        <v>Verde</v>
      </c>
      <c r="K16" s="450" t="str" cm="1">
        <f t="array" ref="K16">ExtrairHiperlink(D16)</f>
        <v>https://intra.senado.leg.br/sigad/novo/protocolo/impressao.asp?cod_protocolo=4248168&amp;area=processo</v>
      </c>
      <c r="L16" t="str" cm="1">
        <f t="array" ref="L16">ExtrairHiperlink(E16)</f>
        <v>https://intra.senado.leg.br/sigad/novo/protocolo/impressao.asp?area=processo&amp;cod_protocolo=4248465&amp;cod_frente_verso=&amp;cod_juntada=&amp;txt_funcao=</v>
      </c>
    </row>
    <row r="17" spans="1:12" ht="81" x14ac:dyDescent="0.25">
      <c r="A17" s="12" t="s">
        <v>54</v>
      </c>
      <c r="B17" s="106"/>
      <c r="C17" s="442"/>
      <c r="D17" s="366"/>
      <c r="E17" s="10" t="s">
        <v>46</v>
      </c>
      <c r="F17" s="365"/>
      <c r="G17" s="111"/>
      <c r="H17" s="108"/>
      <c r="I17" s="199"/>
      <c r="J17" s="91" t="str" cm="1">
        <f t="array" ref="J17">NomeDaCor(A17)</f>
        <v>Amarelo</v>
      </c>
      <c r="K17" s="450" t="str" cm="1">
        <f t="array" ref="K17">ExtrairHiperlink(D17)</f>
        <v>https://intra.senado.leg.br/sigad/novo/protocolo/impressao.asp?cod_protocolo=4248168&amp;area=processo</v>
      </c>
      <c r="L17" t="str" cm="1">
        <f t="array" ref="L17">ExtrairHiperlink(E17)</f>
        <v>https://intra.senado.leg.br/sigad/novo/protocolo/impressao.asp?area=processo&amp;cod_protocolo=4248465&amp;cod_frente_verso=&amp;cod_juntada=&amp;txt_funcao=</v>
      </c>
    </row>
    <row r="18" spans="1:12" ht="60" x14ac:dyDescent="0.25">
      <c r="A18" s="88" t="s">
        <v>47</v>
      </c>
      <c r="B18" s="439">
        <v>45574</v>
      </c>
      <c r="C18" s="107" t="s">
        <v>55</v>
      </c>
      <c r="D18" s="132" t="s">
        <v>56</v>
      </c>
      <c r="E18" s="13" t="s">
        <v>57</v>
      </c>
      <c r="F18" s="107" t="s">
        <v>58</v>
      </c>
      <c r="G18" s="135" t="s">
        <v>59</v>
      </c>
      <c r="H18" s="107"/>
      <c r="I18" s="197" t="s">
        <v>53</v>
      </c>
      <c r="J18" s="91" t="str" cm="1">
        <f t="array" ref="J18">NomeDaCor(A18)</f>
        <v>Verde</v>
      </c>
      <c r="K18" s="450" t="str" cm="1">
        <f t="array" ref="K18">ExtrairHiperlink(D18)</f>
        <v>https://intra.senado.leg.br/sigad/novo/protocolo/impressao.asp?cod_protocolo=4101674&amp;area=processo</v>
      </c>
      <c r="L18" t="str" cm="1">
        <f t="array" ref="L18">ExtrairHiperlink(E18)</f>
        <v>https://intra.senado.leg.br/sigad/novo/protocolo/impressao.asp?cod_protocolo=4245944&amp;area=documento</v>
      </c>
    </row>
    <row r="19" spans="1:12" ht="81" x14ac:dyDescent="0.25">
      <c r="A19" s="14" t="s">
        <v>54</v>
      </c>
      <c r="B19" s="440"/>
      <c r="C19" s="109"/>
      <c r="D19" s="146"/>
      <c r="E19" s="10" t="s">
        <v>46</v>
      </c>
      <c r="F19" s="142"/>
      <c r="G19" s="163"/>
      <c r="H19" s="142"/>
      <c r="I19" s="198"/>
      <c r="J19" s="91" t="str" cm="1">
        <f t="array" ref="J19">NomeDaCor(A19)</f>
        <v>Rosa</v>
      </c>
      <c r="K19" s="450" t="str" cm="1">
        <f t="array" ref="K19">ExtrairHiperlink(D19)</f>
        <v>https://intra.senado.leg.br/sigad/novo/protocolo/impressao.asp?cod_protocolo=4101674&amp;area=processo</v>
      </c>
      <c r="L19" t="str" cm="1">
        <f t="array" ref="L19">ExtrairHiperlink(E19)</f>
        <v>https://intra.senado.leg.br/sigad/novo/protocolo/impressao.asp?cod_protocolo=4245944&amp;area=documento</v>
      </c>
    </row>
    <row r="20" spans="1:12" ht="60" x14ac:dyDescent="0.25">
      <c r="A20" s="11" t="s">
        <v>47</v>
      </c>
      <c r="B20" s="439">
        <v>45326</v>
      </c>
      <c r="C20" s="107" t="s">
        <v>60</v>
      </c>
      <c r="D20" s="132" t="s">
        <v>61</v>
      </c>
      <c r="E20" s="2" t="s">
        <v>62</v>
      </c>
      <c r="F20" s="142"/>
      <c r="G20" s="163"/>
      <c r="H20" s="142"/>
      <c r="I20" s="198"/>
      <c r="J20" s="91" t="str" cm="1">
        <f t="array" ref="J20">NomeDaCor(A20)</f>
        <v>Verde</v>
      </c>
      <c r="K20" s="450" t="str" cm="1">
        <f t="array" ref="K20">ExtrairHiperlink(D20)</f>
        <v>https://intra.senado.leg.br/sigad/novo/protocolo/impressao.asp?cod_protocolo=4226197&amp;area=processo</v>
      </c>
      <c r="L20" t="str" cm="1">
        <f t="array" ref="L20">ExtrairHiperlink(E20)</f>
        <v>https://intra.senado.leg.br/sigad/novo/protocolo/impressao.asp?cod_protocolo=4241693&amp;area=documento</v>
      </c>
    </row>
    <row r="21" spans="1:12" ht="81" x14ac:dyDescent="0.25">
      <c r="A21" s="14" t="s">
        <v>54</v>
      </c>
      <c r="B21" s="440"/>
      <c r="C21" s="109"/>
      <c r="D21" s="146"/>
      <c r="E21" s="7" t="s">
        <v>25</v>
      </c>
      <c r="F21" s="142"/>
      <c r="G21" s="163"/>
      <c r="H21" s="142"/>
      <c r="I21" s="198"/>
      <c r="J21" s="91" t="str" cm="1">
        <f t="array" ref="J21">NomeDaCor(A21)</f>
        <v>Rosa</v>
      </c>
      <c r="K21" s="450" t="str" cm="1">
        <f t="array" ref="K21">ExtrairHiperlink(D21)</f>
        <v>https://intra.senado.leg.br/sigad/novo/protocolo/impressao.asp?cod_protocolo=4226197&amp;area=processo</v>
      </c>
      <c r="L21" t="str" cm="1">
        <f t="array" ref="L21">ExtrairHiperlink(E21)</f>
        <v>https://intra.senado.leg.br/sigad/novo/protocolo/impressao.asp?cod_protocolo=4241693&amp;area=documento</v>
      </c>
    </row>
    <row r="22" spans="1:12" ht="60" x14ac:dyDescent="0.25">
      <c r="A22" s="11" t="s">
        <v>47</v>
      </c>
      <c r="B22" s="105">
        <v>45693</v>
      </c>
      <c r="C22" s="107" t="s">
        <v>63</v>
      </c>
      <c r="D22" s="132" t="s">
        <v>38</v>
      </c>
      <c r="E22" s="2" t="s">
        <v>39</v>
      </c>
      <c r="F22" s="142"/>
      <c r="G22" s="163"/>
      <c r="H22" s="142"/>
      <c r="I22" s="198"/>
      <c r="J22" s="91" t="str" cm="1">
        <f t="array" ref="J22">NomeDaCor(A22)</f>
        <v>Verde</v>
      </c>
      <c r="K22" s="450" t="str" cm="1">
        <f t="array" ref="K22">ExtrairHiperlink(D22)</f>
        <v>https://intra.senado.leg.br/sigad/novo/protocolo/impressao.asp?cod_protocolo=4227195</v>
      </c>
      <c r="L22" t="str" cm="1">
        <f t="array" ref="L22">ExtrairHiperlink(E22)</f>
        <v>https://intra.senado.leg.br/sigad/novo/protocolo/impressao.asp?area=processo&amp;cod_protocolo=4236444&amp;cod_frente_verso=&amp;cod_juntada=&amp;txt_funcao=</v>
      </c>
    </row>
    <row r="23" spans="1:12" ht="81" x14ac:dyDescent="0.25">
      <c r="A23" s="14" t="s">
        <v>54</v>
      </c>
      <c r="B23" s="106"/>
      <c r="C23" s="109"/>
      <c r="D23" s="146"/>
      <c r="E23" s="7" t="s">
        <v>25</v>
      </c>
      <c r="F23" s="109"/>
      <c r="G23" s="164"/>
      <c r="H23" s="109"/>
      <c r="I23" s="199"/>
      <c r="J23" s="91" t="str" cm="1">
        <f t="array" ref="J23">NomeDaCor(A23)</f>
        <v>Rosa</v>
      </c>
      <c r="K23" s="450" t="str" cm="1">
        <f t="array" ref="K23">ExtrairHiperlink(D23)</f>
        <v>https://intra.senado.leg.br/sigad/novo/protocolo/impressao.asp?cod_protocolo=4227195</v>
      </c>
      <c r="L23" t="str" cm="1">
        <f t="array" ref="L23">ExtrairHiperlink(E23)</f>
        <v>https://intra.senado.leg.br/sigad/novo/protocolo/impressao.asp?area=processo&amp;cod_protocolo=4236444&amp;cod_frente_verso=&amp;cod_juntada=&amp;txt_funcao=</v>
      </c>
    </row>
    <row r="24" spans="1:12" ht="60" x14ac:dyDescent="0.25">
      <c r="A24" s="138"/>
      <c r="B24" s="105">
        <v>45652</v>
      </c>
      <c r="C24" s="107" t="s">
        <v>26</v>
      </c>
      <c r="D24" s="100" t="s">
        <v>27</v>
      </c>
      <c r="E24" s="2" t="s">
        <v>28</v>
      </c>
      <c r="F24" s="107" t="s">
        <v>64</v>
      </c>
      <c r="G24" s="135" t="s">
        <v>65</v>
      </c>
      <c r="H24" s="92"/>
      <c r="I24" s="197" t="s">
        <v>66</v>
      </c>
      <c r="J24" s="91" t="str" cm="1">
        <f t="array" ref="J24">NomeDaCor(A24)</f>
        <v>Roxo</v>
      </c>
      <c r="K24" s="450" t="str" cm="1">
        <f t="array" ref="K24">ExtrairHiperlink(D24)</f>
        <v>https://intra.senado.leg.br/sigad/novo/protocolo/impressao.asp?cod_protocolo=4184491&amp;area=processo</v>
      </c>
      <c r="L24" t="str" cm="1">
        <f t="array" ref="L24">ExtrairHiperlink(E24)</f>
        <v>https://intra.senado.leg.br/sigad/novo/protocolo/impressao.asp?area=processo&amp;cod_protocolo=4223434&amp;cod_frente_verso=&amp;cod_juntada=&amp;txt_funcao=</v>
      </c>
    </row>
    <row r="25" spans="1:12" ht="81" x14ac:dyDescent="0.25">
      <c r="A25" s="170"/>
      <c r="B25" s="106"/>
      <c r="C25" s="108"/>
      <c r="D25" s="100"/>
      <c r="E25" s="7" t="s">
        <v>25</v>
      </c>
      <c r="F25" s="109"/>
      <c r="G25" s="163"/>
      <c r="H25" s="153"/>
      <c r="I25" s="198"/>
      <c r="J25" s="91" t="str" cm="1">
        <f t="array" ref="J25">NomeDaCor(A25)</f>
        <v>Roxo</v>
      </c>
      <c r="K25" s="450" t="str" cm="1">
        <f t="array" ref="K25">ExtrairHiperlink(D25)</f>
        <v>https://intra.senado.leg.br/sigad/novo/protocolo/impressao.asp?cod_protocolo=4184491&amp;area=processo</v>
      </c>
      <c r="L25" t="str" cm="1">
        <f t="array" ref="L25">ExtrairHiperlink(E25)</f>
        <v>https://intra.senado.leg.br/sigad/novo/protocolo/impressao.asp?area=processo&amp;cod_protocolo=4223434&amp;cod_frente_verso=&amp;cod_juntada=&amp;txt_funcao=</v>
      </c>
    </row>
    <row r="26" spans="1:12" x14ac:dyDescent="0.25">
      <c r="A26" s="170"/>
      <c r="B26" s="105">
        <v>45722</v>
      </c>
      <c r="C26" s="145" t="s">
        <v>67</v>
      </c>
      <c r="D26" s="132" t="s">
        <v>68</v>
      </c>
      <c r="E26" s="436" t="s">
        <v>69</v>
      </c>
      <c r="F26" s="107" t="s">
        <v>70</v>
      </c>
      <c r="G26" s="163"/>
      <c r="H26" s="153"/>
      <c r="I26" s="198"/>
      <c r="J26" s="91" t="str" cm="1">
        <f t="array" ref="J26">NomeDaCor(A26)</f>
        <v>Roxo</v>
      </c>
      <c r="K26" s="450" t="str" cm="1">
        <f t="array" ref="K26">ExtrairHiperlink(D26)</f>
        <v>https://intra.senado.leg.br/sigad/novo/protocolo/impressao.asp?cod_protocolo=4262063&amp;area=processo</v>
      </c>
      <c r="L26" t="str" cm="1">
        <f t="array" ref="L26">ExtrairHiperlink(E26)</f>
        <v>https://intra.senado.leg.br/sigad/novo/protocolo/impressao.asp?area=processo&amp;cod_protocolo=4223434&amp;cod_frente_verso=&amp;cod_juntada=&amp;txt_funcao=</v>
      </c>
    </row>
    <row r="27" spans="1:12" x14ac:dyDescent="0.25">
      <c r="A27" s="139"/>
      <c r="B27" s="106"/>
      <c r="C27" s="172"/>
      <c r="D27" s="146"/>
      <c r="E27" s="437"/>
      <c r="F27" s="109"/>
      <c r="G27" s="164"/>
      <c r="H27" s="93"/>
      <c r="I27" s="199"/>
      <c r="J27" s="91" t="str" cm="1">
        <f t="array" ref="J27">NomeDaCor(A27)</f>
        <v>Roxo</v>
      </c>
      <c r="K27" s="450" t="str" cm="1">
        <f t="array" ref="K27">ExtrairHiperlink(D27)</f>
        <v>https://intra.senado.leg.br/sigad/novo/protocolo/impressao.asp?cod_protocolo=4262063&amp;area=processo</v>
      </c>
      <c r="L27" t="str" cm="1">
        <f t="array" ref="L27">ExtrairHiperlink(E27)</f>
        <v>https://intra.senado.leg.br/sigad/novo/protocolo/impressao.asp?area=processo&amp;cod_protocolo=4223434&amp;cod_frente_verso=&amp;cod_juntada=&amp;txt_funcao=</v>
      </c>
    </row>
    <row r="28" spans="1:12" ht="60" x14ac:dyDescent="0.25">
      <c r="A28" s="138"/>
      <c r="B28" s="105">
        <v>45692</v>
      </c>
      <c r="C28" s="107" t="s">
        <v>71</v>
      </c>
      <c r="D28" s="132" t="s">
        <v>72</v>
      </c>
      <c r="E28" s="15" t="s">
        <v>73</v>
      </c>
      <c r="F28" s="107" t="s">
        <v>74</v>
      </c>
      <c r="G28" s="110">
        <v>45728</v>
      </c>
      <c r="H28" s="92"/>
      <c r="I28" s="197" t="s">
        <v>75</v>
      </c>
      <c r="J28" s="91" t="str" cm="1">
        <f t="array" ref="J28">NomeDaCor(A28)</f>
        <v>Roxo</v>
      </c>
      <c r="K28" s="450" t="str" cm="1">
        <f t="array" ref="K28">ExtrairHiperlink(D28)</f>
        <v>https://intra.senado.leg.br/sigad/novo/protocolo/impressao.asp?cod_protocolo=4262063&amp;area=processo</v>
      </c>
      <c r="L28" t="str" cm="1">
        <f t="array" ref="L28">ExtrairHiperlink(E28)</f>
        <v>https://intra.senado.leg.br/sigad/novo/protocolo/impressao.asp?area=processo&amp;cod_protocolo=4227921&amp;cod_frente_verso=&amp;cod_juntada=&amp;txt_funcao=</v>
      </c>
    </row>
    <row r="29" spans="1:12" ht="81" x14ac:dyDescent="0.25">
      <c r="A29" s="139"/>
      <c r="B29" s="106"/>
      <c r="C29" s="109"/>
      <c r="D29" s="146"/>
      <c r="E29" s="7" t="s">
        <v>25</v>
      </c>
      <c r="F29" s="109"/>
      <c r="G29" s="111"/>
      <c r="H29" s="93"/>
      <c r="I29" s="199"/>
      <c r="J29" s="91" t="str" cm="1">
        <f t="array" ref="J29">NomeDaCor(A29)</f>
        <v>Roxo</v>
      </c>
      <c r="K29" s="450" t="str" cm="1">
        <f t="array" ref="K29">ExtrairHiperlink(D29)</f>
        <v>https://intra.senado.leg.br/sigad/novo/protocolo/impressao.asp?cod_protocolo=4262063&amp;area=processo</v>
      </c>
      <c r="L29" t="str" cm="1">
        <f t="array" ref="L29">ExtrairHiperlink(E29)</f>
        <v>https://intra.senado.leg.br/sigad/novo/protocolo/impressao.asp?area=processo&amp;cod_protocolo=4227921&amp;cod_frente_verso=&amp;cod_juntada=&amp;txt_funcao=</v>
      </c>
    </row>
    <row r="30" spans="1:12" ht="60" x14ac:dyDescent="0.25">
      <c r="A30" s="16" t="s">
        <v>47</v>
      </c>
      <c r="B30" s="105">
        <v>45692</v>
      </c>
      <c r="C30" s="107" t="s">
        <v>71</v>
      </c>
      <c r="D30" s="132" t="s">
        <v>76</v>
      </c>
      <c r="E30" s="17" t="s">
        <v>73</v>
      </c>
      <c r="F30" s="107" t="s">
        <v>77</v>
      </c>
      <c r="G30" s="110">
        <v>45729</v>
      </c>
      <c r="H30" s="92"/>
      <c r="I30" s="197" t="s">
        <v>75</v>
      </c>
      <c r="J30" s="91" t="str" cm="1">
        <f t="array" ref="J30">NomeDaCor(A30)</f>
        <v>Azul</v>
      </c>
      <c r="K30" s="450" t="str" cm="1">
        <f t="array" ref="K30">ExtrairHiperlink(D30)</f>
        <v>https://intra.senado.leg.br/sigad/novo/protocolo/impressao.asp?cod_protocolo=4262063&amp;area=processo</v>
      </c>
      <c r="L30" t="str" cm="1">
        <f t="array" ref="L30">ExtrairHiperlink(E30)</f>
        <v>https://intra.senado.leg.br/sigad/novo/protocolo/impressao.asp?area=processo&amp;cod_protocolo=4227921&amp;cod_frente_verso=&amp;cod_juntada=&amp;txt_funcao=</v>
      </c>
    </row>
    <row r="31" spans="1:12" ht="81" x14ac:dyDescent="0.25">
      <c r="A31" s="18" t="s">
        <v>54</v>
      </c>
      <c r="B31" s="131"/>
      <c r="C31" s="109"/>
      <c r="D31" s="133"/>
      <c r="E31" s="7" t="s">
        <v>25</v>
      </c>
      <c r="F31" s="109"/>
      <c r="G31" s="111"/>
      <c r="H31" s="93"/>
      <c r="I31" s="199"/>
      <c r="J31" s="91" t="str" cm="1">
        <f t="array" ref="J31">NomeDaCor(A31)</f>
        <v>Vermelho</v>
      </c>
      <c r="K31" s="450" t="str" cm="1">
        <f t="array" ref="K31">ExtrairHiperlink(D31)</f>
        <v>https://intra.senado.leg.br/sigad/novo/protocolo/impressao.asp?cod_protocolo=4262063&amp;area=processo</v>
      </c>
      <c r="L31" t="str" cm="1">
        <f t="array" ref="L31">ExtrairHiperlink(E31)</f>
        <v>https://intra.senado.leg.br/sigad/novo/protocolo/impressao.asp?area=processo&amp;cod_protocolo=4227921&amp;cod_frente_verso=&amp;cod_juntada=&amp;txt_funcao=</v>
      </c>
    </row>
    <row r="32" spans="1:12" ht="60" x14ac:dyDescent="0.25">
      <c r="A32" s="345"/>
      <c r="B32" s="105">
        <v>45722</v>
      </c>
      <c r="C32" s="107" t="s">
        <v>78</v>
      </c>
      <c r="D32" s="132" t="s">
        <v>79</v>
      </c>
      <c r="E32" s="2" t="s">
        <v>80</v>
      </c>
      <c r="F32" s="107" t="s">
        <v>81</v>
      </c>
      <c r="G32" s="110">
        <v>45730</v>
      </c>
      <c r="H32" s="92"/>
      <c r="I32" s="197" t="s">
        <v>75</v>
      </c>
      <c r="J32" s="91" t="str" cm="1">
        <f t="array" ref="J32">NomeDaCor(A32)</f>
        <v>Vermelho</v>
      </c>
      <c r="K32" s="450" t="str" cm="1">
        <f t="array" ref="K32">ExtrairHiperlink(D32)</f>
        <v>https://intra.senado.leg.br/sigad/novo/protocolo/impressao.asp?cod_protocolo=4262772&amp;area=processo</v>
      </c>
      <c r="L32" t="str" cm="1">
        <f t="array" ref="L32">ExtrairHiperlink(E32)</f>
        <v>https://intra.senado.leg.br/sigad/novo/protocolo/impressao.asp?area=processo&amp;cod_protocolo=4263004&amp;cod_frente_verso=&amp;cod_juntada=&amp;txt_funcao=</v>
      </c>
    </row>
    <row r="33" spans="1:12" ht="81" x14ac:dyDescent="0.25">
      <c r="A33" s="346"/>
      <c r="B33" s="106"/>
      <c r="C33" s="109"/>
      <c r="D33" s="146"/>
      <c r="E33" s="10" t="s">
        <v>46</v>
      </c>
      <c r="F33" s="109"/>
      <c r="G33" s="111"/>
      <c r="H33" s="93"/>
      <c r="I33" s="199"/>
      <c r="J33" s="91" t="str" cm="1">
        <f t="array" ref="J33">NomeDaCor(A33)</f>
        <v>Vermelho</v>
      </c>
      <c r="K33" s="450" t="str" cm="1">
        <f t="array" ref="K33">ExtrairHiperlink(D33)</f>
        <v>https://intra.senado.leg.br/sigad/novo/protocolo/impressao.asp?cod_protocolo=4262772&amp;area=processo</v>
      </c>
      <c r="L33" t="str" cm="1">
        <f t="array" ref="L33">ExtrairHiperlink(E33)</f>
        <v>https://intra.senado.leg.br/sigad/novo/protocolo/impressao.asp?area=processo&amp;cod_protocolo=4263004&amp;cod_frente_verso=&amp;cod_juntada=&amp;txt_funcao=</v>
      </c>
    </row>
    <row r="34" spans="1:12" ht="60" x14ac:dyDescent="0.25">
      <c r="A34" s="323"/>
      <c r="B34" s="105">
        <v>45693</v>
      </c>
      <c r="C34" s="107" t="s">
        <v>82</v>
      </c>
      <c r="D34" s="132" t="s">
        <v>83</v>
      </c>
      <c r="E34" s="2" t="s">
        <v>84</v>
      </c>
      <c r="F34" s="107" t="s">
        <v>85</v>
      </c>
      <c r="G34" s="147" t="s">
        <v>86</v>
      </c>
      <c r="H34" s="92"/>
      <c r="I34" s="197" t="s">
        <v>87</v>
      </c>
      <c r="J34" s="91" t="str" cm="1">
        <f t="array" ref="J34">NomeDaCor(A34)</f>
        <v>Azul</v>
      </c>
      <c r="K34" s="450" t="str" cm="1">
        <f t="array" ref="K34">ExtrairHiperlink(D34)</f>
        <v>https://intra.senado.leg.br/sigad/novo/protocolo/impressao.asp?cod_protocolo=4229768&amp;area=processo</v>
      </c>
      <c r="L34" t="str" cm="1">
        <f t="array" ref="L34">ExtrairHiperlink(E34)</f>
        <v>https://intra.senado.leg.br/sigad/novo/protocolo/impressao.asp?cod_protocolo=4241700&amp;area=documento</v>
      </c>
    </row>
    <row r="35" spans="1:12" ht="81" x14ac:dyDescent="0.25">
      <c r="A35" s="325"/>
      <c r="B35" s="106"/>
      <c r="C35" s="108"/>
      <c r="D35" s="146"/>
      <c r="E35" s="20" t="s">
        <v>25</v>
      </c>
      <c r="F35" s="109"/>
      <c r="G35" s="111"/>
      <c r="H35" s="93"/>
      <c r="I35" s="199"/>
      <c r="J35" s="91" t="str" cm="1">
        <f t="array" ref="J35">NomeDaCor(A35)</f>
        <v>Azul</v>
      </c>
      <c r="K35" s="450" t="str" cm="1">
        <f t="array" ref="K35">ExtrairHiperlink(D35)</f>
        <v>https://intra.senado.leg.br/sigad/novo/protocolo/impressao.asp?cod_protocolo=4229768&amp;area=processo</v>
      </c>
      <c r="L35" t="str" cm="1">
        <f t="array" ref="L35">ExtrairHiperlink(E35)</f>
        <v>https://intra.senado.leg.br/sigad/novo/protocolo/impressao.asp?cod_protocolo=4241700&amp;area=documento</v>
      </c>
    </row>
    <row r="36" spans="1:12" ht="60" x14ac:dyDescent="0.25">
      <c r="A36" s="154" t="s">
        <v>18</v>
      </c>
      <c r="B36" s="155">
        <v>45716</v>
      </c>
      <c r="C36" s="156" t="s">
        <v>88</v>
      </c>
      <c r="D36" s="268" t="s">
        <v>89</v>
      </c>
      <c r="E36" s="22" t="s">
        <v>90</v>
      </c>
      <c r="F36" s="156" t="s">
        <v>91</v>
      </c>
      <c r="G36" s="148" t="s">
        <v>92</v>
      </c>
      <c r="H36" s="150"/>
      <c r="I36" s="22" t="s">
        <v>93</v>
      </c>
      <c r="J36" s="91" t="str" cm="1">
        <f t="array" ref="J36">NomeDaCor(A36)</f>
        <v>Preto</v>
      </c>
      <c r="K36" s="450" t="str" cm="1">
        <f t="array" ref="K36">ExtrairHiperlink(D36)</f>
        <v>https://intra.senado.leg.br/sigad/novo/protocolo/impressao.asp?cod_protocolo=4260604&amp;area=processo</v>
      </c>
      <c r="L36" t="str" cm="1">
        <f t="array" ref="L36">ExtrairHiperlink(E36)</f>
        <v>https://intra.senado.leg.br/sigad/novo/protocolo/impressao.asp?area=processo&amp;cod_protocolo=4264211&amp;cod_frente_verso=&amp;cod_juntada=&amp;txt_funcao=</v>
      </c>
    </row>
    <row r="37" spans="1:12" ht="81" x14ac:dyDescent="0.25">
      <c r="A37" s="115"/>
      <c r="B37" s="224"/>
      <c r="C37" s="161"/>
      <c r="D37" s="268"/>
      <c r="E37" s="24" t="s">
        <v>25</v>
      </c>
      <c r="F37" s="119"/>
      <c r="G37" s="127"/>
      <c r="H37" s="128"/>
      <c r="I37" s="90" t="s">
        <v>94</v>
      </c>
      <c r="J37" s="91" t="str" cm="1">
        <f t="array" ref="J37">NomeDaCor(A37)</f>
        <v>Preto</v>
      </c>
      <c r="K37" s="450" t="str" cm="1">
        <f t="array" ref="K37">ExtrairHiperlink(D37)</f>
        <v>https://intra.senado.leg.br/sigad/novo/protocolo/impressao.asp?cod_protocolo=4260604&amp;area=processo</v>
      </c>
      <c r="L37" t="str" cm="1">
        <f t="array" ref="L37">ExtrairHiperlink(E37)</f>
        <v>https://intra.senado.leg.br/sigad/novo/protocolo/impressao.asp?area=processo&amp;cod_protocolo=4264211&amp;cod_frente_verso=&amp;cod_juntada=&amp;txt_funcao=</v>
      </c>
    </row>
    <row r="38" spans="1:12" ht="60" x14ac:dyDescent="0.25">
      <c r="A38" s="25" t="s">
        <v>47</v>
      </c>
      <c r="B38" s="105">
        <v>45693</v>
      </c>
      <c r="C38" s="107" t="s">
        <v>63</v>
      </c>
      <c r="D38" s="132" t="s">
        <v>38</v>
      </c>
      <c r="E38" s="2" t="s">
        <v>39</v>
      </c>
      <c r="F38" s="107" t="s">
        <v>95</v>
      </c>
      <c r="G38" s="147" t="s">
        <v>96</v>
      </c>
      <c r="H38" s="92"/>
      <c r="I38" s="197" t="s">
        <v>87</v>
      </c>
      <c r="J38" s="91" t="str" cm="1">
        <f t="array" ref="J38">NomeDaCor(A38)</f>
        <v>Azul</v>
      </c>
      <c r="K38" s="450" t="str" cm="1">
        <f t="array" ref="K38">ExtrairHiperlink(D38)</f>
        <v>https://intra.senado.leg.br/sigad/novo/protocolo/impressao.asp?cod_protocolo=4227195</v>
      </c>
      <c r="L38" t="str" cm="1">
        <f t="array" ref="L38">ExtrairHiperlink(E38)</f>
        <v>https://intra.senado.leg.br/sigad/novo/protocolo/impressao.asp?area=processo&amp;cod_protocolo=4236444&amp;cod_frente_verso=&amp;cod_juntada=&amp;txt_funcao=</v>
      </c>
    </row>
    <row r="39" spans="1:12" ht="81" x14ac:dyDescent="0.25">
      <c r="A39" s="26" t="s">
        <v>54</v>
      </c>
      <c r="B39" s="106"/>
      <c r="C39" s="109"/>
      <c r="D39" s="146"/>
      <c r="E39" s="20" t="s">
        <v>25</v>
      </c>
      <c r="F39" s="142"/>
      <c r="G39" s="169"/>
      <c r="H39" s="153"/>
      <c r="I39" s="198"/>
      <c r="J39" s="91" t="str" cm="1">
        <f t="array" ref="J39">NomeDaCor(A39)</f>
        <v>Amarelo</v>
      </c>
      <c r="K39" s="450" t="str" cm="1">
        <f t="array" ref="K39">ExtrairHiperlink(D39)</f>
        <v>https://intra.senado.leg.br/sigad/novo/protocolo/impressao.asp?cod_protocolo=4227195</v>
      </c>
      <c r="L39" t="str" cm="1">
        <f t="array" ref="L39">ExtrairHiperlink(E39)</f>
        <v>https://intra.senado.leg.br/sigad/novo/protocolo/impressao.asp?area=processo&amp;cod_protocolo=4236444&amp;cod_frente_verso=&amp;cod_juntada=&amp;txt_funcao=</v>
      </c>
    </row>
    <row r="40" spans="1:12" ht="60" x14ac:dyDescent="0.25">
      <c r="A40" s="25" t="s">
        <v>47</v>
      </c>
      <c r="B40" s="105">
        <v>45727</v>
      </c>
      <c r="C40" s="107" t="s">
        <v>97</v>
      </c>
      <c r="D40" s="132" t="s">
        <v>98</v>
      </c>
      <c r="E40" s="3" t="s">
        <v>99</v>
      </c>
      <c r="F40" s="142"/>
      <c r="G40" s="169"/>
      <c r="H40" s="153"/>
      <c r="I40" s="198"/>
      <c r="J40" s="91" t="str" cm="1">
        <f t="array" ref="J40">NomeDaCor(A40)</f>
        <v>Azul</v>
      </c>
      <c r="K40" s="450" t="str" cm="1">
        <f t="array" ref="K40">ExtrairHiperlink(D40)</f>
        <v>https://intra.senado.leg.br/sigad/novo/protocolo/impressao.asp?cod_protocolo=4268675&amp;area=processo</v>
      </c>
      <c r="L40" t="str" cm="1">
        <f t="array" ref="L40">ExtrairHiperlink(E40)</f>
        <v>https://intra.senado.leg.br/sigad/novo/protocolo/impressao.asp?area=processo&amp;cod_protocolo=4268746&amp;cod_frente_verso=&amp;cod_juntada=&amp;txt_funcao=</v>
      </c>
    </row>
    <row r="41" spans="1:12" ht="81" x14ac:dyDescent="0.25">
      <c r="A41" s="26" t="s">
        <v>54</v>
      </c>
      <c r="B41" s="106"/>
      <c r="C41" s="109"/>
      <c r="D41" s="146"/>
      <c r="E41" s="20" t="s">
        <v>25</v>
      </c>
      <c r="F41" s="142"/>
      <c r="G41" s="169"/>
      <c r="H41" s="153"/>
      <c r="I41" s="198"/>
      <c r="J41" s="91" t="str" cm="1">
        <f t="array" ref="J41">NomeDaCor(A41)</f>
        <v>Amarelo</v>
      </c>
      <c r="K41" s="450" t="str" cm="1">
        <f t="array" ref="K41">ExtrairHiperlink(D41)</f>
        <v>https://intra.senado.leg.br/sigad/novo/protocolo/impressao.asp?cod_protocolo=4268675&amp;area=processo</v>
      </c>
      <c r="L41" t="str" cm="1">
        <f t="array" ref="L41">ExtrairHiperlink(E41)</f>
        <v>https://intra.senado.leg.br/sigad/novo/protocolo/impressao.asp?area=processo&amp;cod_protocolo=4268746&amp;cod_frente_verso=&amp;cod_juntada=&amp;txt_funcao=</v>
      </c>
    </row>
    <row r="42" spans="1:12" ht="60" x14ac:dyDescent="0.25">
      <c r="A42" s="25" t="s">
        <v>47</v>
      </c>
      <c r="B42" s="105">
        <v>45730</v>
      </c>
      <c r="C42" s="107" t="s">
        <v>100</v>
      </c>
      <c r="D42" s="132" t="s">
        <v>101</v>
      </c>
      <c r="E42" s="3" t="s">
        <v>102</v>
      </c>
      <c r="F42" s="142"/>
      <c r="G42" s="169"/>
      <c r="H42" s="153"/>
      <c r="I42" s="198"/>
      <c r="J42" s="91" t="str" cm="1">
        <f t="array" ref="J42">NomeDaCor(A42)</f>
        <v>Azul</v>
      </c>
      <c r="K42" s="450" t="str" cm="1">
        <f t="array" ref="K42">ExtrairHiperlink(D42)</f>
        <v>https://intra.senado.leg.br/sigad/novo/protocolo/impressao.asp?cod_protocolo=4274050&amp;area=processo</v>
      </c>
      <c r="L42" t="str" cm="1">
        <f t="array" ref="L42">ExtrairHiperlink(E42)</f>
        <v>https://intra.senado.leg.br/sigad/novo/protocolo/impressao.asp?area=processo&amp;cod_protocolo=4274089&amp;cod_frente_verso=&amp;cod_juntada=&amp;txt_funcao=</v>
      </c>
    </row>
    <row r="43" spans="1:12" ht="81" x14ac:dyDescent="0.25">
      <c r="A43" s="26" t="s">
        <v>54</v>
      </c>
      <c r="B43" s="106"/>
      <c r="C43" s="109"/>
      <c r="D43" s="146"/>
      <c r="E43" s="20" t="s">
        <v>25</v>
      </c>
      <c r="F43" s="109"/>
      <c r="G43" s="171"/>
      <c r="H43" s="93"/>
      <c r="I43" s="199"/>
      <c r="J43" s="91" t="str" cm="1">
        <f t="array" ref="J43">NomeDaCor(A43)</f>
        <v>Amarelo</v>
      </c>
      <c r="K43" s="450" t="str" cm="1">
        <f t="array" ref="K43">ExtrairHiperlink(D43)</f>
        <v>https://intra.senado.leg.br/sigad/novo/protocolo/impressao.asp?cod_protocolo=4274050&amp;area=processo</v>
      </c>
      <c r="L43" t="str" cm="1">
        <f t="array" ref="L43">ExtrairHiperlink(E43)</f>
        <v>https://intra.senado.leg.br/sigad/novo/protocolo/impressao.asp?area=processo&amp;cod_protocolo=4274089&amp;cod_frente_verso=&amp;cod_juntada=&amp;txt_funcao=</v>
      </c>
    </row>
    <row r="44" spans="1:12" ht="60" x14ac:dyDescent="0.25">
      <c r="A44" s="426" t="s">
        <v>103</v>
      </c>
      <c r="B44" s="428">
        <v>45734</v>
      </c>
      <c r="C44" s="430" t="s">
        <v>104</v>
      </c>
      <c r="D44" s="432" t="s">
        <v>105</v>
      </c>
      <c r="E44" s="27" t="s">
        <v>106</v>
      </c>
      <c r="F44" s="430" t="s">
        <v>107</v>
      </c>
      <c r="G44" s="434" t="s">
        <v>108</v>
      </c>
      <c r="H44" s="422"/>
      <c r="I44" s="424"/>
      <c r="J44" s="91" t="str" cm="1">
        <f t="array" ref="J44">NomeDaCor(A44)</f>
        <v>Cinza</v>
      </c>
      <c r="K44" s="450" t="str" cm="1">
        <f t="array" ref="K44">ExtrairHiperlink(D44)</f>
        <v>https://intra.senado.leg.br/sigad/novo/protocolo/impressao.asp?cod_protocolo=4277368&amp;area=processo</v>
      </c>
      <c r="L44" t="str" cm="1">
        <f t="array" ref="L44">ExtrairHiperlink(E44)</f>
        <v>https://intra.senado.leg.br/sigad/novo/protocolo/impressao.asp?area=processo&amp;cod_protocolo=4279688&amp;cod_frente_verso=&amp;cod_juntada=&amp;txt_funcao=</v>
      </c>
    </row>
    <row r="45" spans="1:12" ht="81" x14ac:dyDescent="0.25">
      <c r="A45" s="427"/>
      <c r="B45" s="429"/>
      <c r="C45" s="431"/>
      <c r="D45" s="433"/>
      <c r="E45" s="28" t="s">
        <v>25</v>
      </c>
      <c r="F45" s="431"/>
      <c r="G45" s="435"/>
      <c r="H45" s="423"/>
      <c r="I45" s="425"/>
      <c r="J45" s="91" t="str" cm="1">
        <f t="array" ref="J45">NomeDaCor(A45)</f>
        <v>Cinza</v>
      </c>
      <c r="K45" s="450" t="str" cm="1">
        <f t="array" ref="K45">ExtrairHiperlink(D45)</f>
        <v>https://intra.senado.leg.br/sigad/novo/protocolo/impressao.asp?cod_protocolo=4277368&amp;area=processo</v>
      </c>
      <c r="L45" t="str" cm="1">
        <f t="array" ref="L45">ExtrairHiperlink(E45)</f>
        <v>https://intra.senado.leg.br/sigad/novo/protocolo/impressao.asp?area=processo&amp;cod_protocolo=4279688&amp;cod_frente_verso=&amp;cod_juntada=&amp;txt_funcao=</v>
      </c>
    </row>
    <row r="46" spans="1:12" ht="60" x14ac:dyDescent="0.25">
      <c r="A46" s="282"/>
      <c r="B46" s="105">
        <v>45728</v>
      </c>
      <c r="C46" s="107" t="s">
        <v>109</v>
      </c>
      <c r="D46" s="132" t="s">
        <v>110</v>
      </c>
      <c r="E46" s="2" t="s">
        <v>111</v>
      </c>
      <c r="F46" s="107" t="s">
        <v>112</v>
      </c>
      <c r="G46" s="147" t="s">
        <v>113</v>
      </c>
      <c r="H46" s="92"/>
      <c r="I46" s="197" t="s">
        <v>87</v>
      </c>
      <c r="J46" s="91" t="str" cm="1">
        <f t="array" ref="J46">NomeDaCor(A46)</f>
        <v>Verde</v>
      </c>
      <c r="K46" s="450" t="str" cm="1">
        <f t="array" ref="K46">ExtrairHiperlink(D46)</f>
        <v>https://intra.senado.leg.br/sigad/novo/protocolo/impressao.asp?cod_protocolo=4270750&amp;area=processo</v>
      </c>
      <c r="L46" t="str" cm="1">
        <f t="array" ref="L46">ExtrairHiperlink(E46)</f>
        <v>https://intra.senado.leg.br/sigad/novo/protocolo/impressao.asp?area=processo&amp;cod_protocolo=4270771&amp;cod_frente_verso=&amp;cod_juntada=&amp;txt_funcao=</v>
      </c>
    </row>
    <row r="47" spans="1:12" ht="81" x14ac:dyDescent="0.25">
      <c r="A47" s="284"/>
      <c r="B47" s="106"/>
      <c r="C47" s="109"/>
      <c r="D47" s="146"/>
      <c r="E47" s="20" t="s">
        <v>25</v>
      </c>
      <c r="F47" s="109"/>
      <c r="G47" s="171"/>
      <c r="H47" s="93"/>
      <c r="I47" s="199"/>
      <c r="J47" s="91" t="str" cm="1">
        <f t="array" ref="J47">NomeDaCor(A47)</f>
        <v>Verde</v>
      </c>
      <c r="K47" s="450" t="str" cm="1">
        <f t="array" ref="K47">ExtrairHiperlink(D47)</f>
        <v>https://intra.senado.leg.br/sigad/novo/protocolo/impressao.asp?cod_protocolo=4270750&amp;area=processo</v>
      </c>
      <c r="L47" t="str" cm="1">
        <f t="array" ref="L47">ExtrairHiperlink(E47)</f>
        <v>https://intra.senado.leg.br/sigad/novo/protocolo/impressao.asp?area=processo&amp;cod_protocolo=4270771&amp;cod_frente_verso=&amp;cod_juntada=&amp;txt_funcao=</v>
      </c>
    </row>
    <row r="48" spans="1:12" ht="60" x14ac:dyDescent="0.25">
      <c r="A48" s="420"/>
      <c r="B48" s="105">
        <v>45728</v>
      </c>
      <c r="C48" s="145" t="s">
        <v>114</v>
      </c>
      <c r="D48" s="132" t="s">
        <v>115</v>
      </c>
      <c r="E48" s="2" t="s">
        <v>116</v>
      </c>
      <c r="F48" s="107" t="s">
        <v>117</v>
      </c>
      <c r="G48" s="147" t="s">
        <v>118</v>
      </c>
      <c r="H48" s="92"/>
      <c r="I48" s="197" t="s">
        <v>119</v>
      </c>
      <c r="J48" s="91" t="str" cm="1">
        <f t="array" ref="J48">NomeDaCor(A48)</f>
        <v>Roxo</v>
      </c>
      <c r="K48" s="450" t="str" cm="1">
        <f t="array" ref="K48">ExtrairHiperlink(D48)</f>
        <v>https://intra.senado.leg.br/sigad/novo/protocolo/impressao.asp?cod_protocolo=4269985&amp;area=processo</v>
      </c>
      <c r="L48" t="str" cm="1">
        <f t="array" ref="L48">ExtrairHiperlink(E48)</f>
        <v>https://intra.senado.leg.br/sigad/novo/protocolo/impressao.asp?area=processo&amp;cod_protocolo=4269913&amp;cod_frente_verso=&amp;cod_juntada=&amp;txt_funcao=</v>
      </c>
    </row>
    <row r="49" spans="1:12" ht="81" x14ac:dyDescent="0.25">
      <c r="A49" s="421"/>
      <c r="B49" s="106"/>
      <c r="C49" s="109"/>
      <c r="D49" s="146"/>
      <c r="E49" s="20" t="s">
        <v>25</v>
      </c>
      <c r="F49" s="109"/>
      <c r="G49" s="171"/>
      <c r="H49" s="93"/>
      <c r="I49" s="199"/>
      <c r="J49" s="91" t="str" cm="1">
        <f t="array" ref="J49">NomeDaCor(A49)</f>
        <v>Roxo</v>
      </c>
      <c r="K49" s="450" t="str" cm="1">
        <f t="array" ref="K49">ExtrairHiperlink(D49)</f>
        <v>https://intra.senado.leg.br/sigad/novo/protocolo/impressao.asp?cod_protocolo=4269985&amp;area=processo</v>
      </c>
      <c r="L49" t="str" cm="1">
        <f t="array" ref="L49">ExtrairHiperlink(E49)</f>
        <v>https://intra.senado.leg.br/sigad/novo/protocolo/impressao.asp?area=processo&amp;cod_protocolo=4269913&amp;cod_frente_verso=&amp;cod_juntada=&amp;txt_funcao=</v>
      </c>
    </row>
    <row r="50" spans="1:12" ht="60" x14ac:dyDescent="0.25">
      <c r="A50" s="282"/>
      <c r="B50" s="105">
        <v>45693</v>
      </c>
      <c r="C50" s="107" t="s">
        <v>63</v>
      </c>
      <c r="D50" s="132" t="s">
        <v>38</v>
      </c>
      <c r="E50" s="2" t="s">
        <v>39</v>
      </c>
      <c r="F50" s="107" t="s">
        <v>120</v>
      </c>
      <c r="G50" s="147" t="s">
        <v>121</v>
      </c>
      <c r="H50" s="92"/>
      <c r="I50" s="197" t="s">
        <v>119</v>
      </c>
      <c r="J50" s="91" t="str" cm="1">
        <f t="array" ref="J50">NomeDaCor(A50)</f>
        <v>Verde</v>
      </c>
      <c r="K50" s="450" t="str" cm="1">
        <f t="array" ref="K50">ExtrairHiperlink(D50)</f>
        <v>https://intra.senado.leg.br/sigad/novo/protocolo/impressao.asp?cod_protocolo=4227195</v>
      </c>
      <c r="L50" t="str" cm="1">
        <f t="array" ref="L50">ExtrairHiperlink(E50)</f>
        <v>https://intra.senado.leg.br/sigad/novo/protocolo/impressao.asp?area=processo&amp;cod_protocolo=4236444&amp;cod_frente_verso=&amp;cod_juntada=&amp;txt_funcao=</v>
      </c>
    </row>
    <row r="51" spans="1:12" ht="81" x14ac:dyDescent="0.25">
      <c r="A51" s="284"/>
      <c r="B51" s="106"/>
      <c r="C51" s="109"/>
      <c r="D51" s="146"/>
      <c r="E51" s="20" t="s">
        <v>25</v>
      </c>
      <c r="F51" s="108"/>
      <c r="G51" s="111"/>
      <c r="H51" s="93"/>
      <c r="I51" s="199"/>
      <c r="J51" s="91" t="str" cm="1">
        <f t="array" ref="J51">NomeDaCor(A51)</f>
        <v>Verde</v>
      </c>
      <c r="K51" s="450" t="str" cm="1">
        <f t="array" ref="K51">ExtrairHiperlink(D51)</f>
        <v>https://intra.senado.leg.br/sigad/novo/protocolo/impressao.asp?cod_protocolo=4227195</v>
      </c>
      <c r="L51" t="str" cm="1">
        <f t="array" ref="L51">ExtrairHiperlink(E51)</f>
        <v>https://intra.senado.leg.br/sigad/novo/protocolo/impressao.asp?area=processo&amp;cod_protocolo=4236444&amp;cod_frente_verso=&amp;cod_juntada=&amp;txt_funcao=</v>
      </c>
    </row>
    <row r="52" spans="1:12" ht="60" x14ac:dyDescent="0.25">
      <c r="A52" s="154" t="s">
        <v>18</v>
      </c>
      <c r="B52" s="155">
        <v>45712</v>
      </c>
      <c r="C52" s="156" t="s">
        <v>122</v>
      </c>
      <c r="D52" s="157" t="s">
        <v>89</v>
      </c>
      <c r="E52" s="30" t="s">
        <v>123</v>
      </c>
      <c r="F52" s="156" t="s">
        <v>124</v>
      </c>
      <c r="G52" s="148" t="s">
        <v>125</v>
      </c>
      <c r="H52" s="150"/>
      <c r="I52" s="22" t="s">
        <v>126</v>
      </c>
      <c r="J52" s="91" t="str" cm="1">
        <f t="array" ref="J52">NomeDaCor(A52)</f>
        <v>Preto</v>
      </c>
      <c r="K52" s="450" t="str" cm="1">
        <f t="array" ref="K52">ExtrairHiperlink(D52)</f>
        <v>https://intra.senado.leg.br/sigad/novo/protocolo/impressao.asp?cod_protocolo=4260604&amp;area=processo</v>
      </c>
      <c r="L52" t="str" cm="1">
        <f t="array" ref="L52">ExtrairHiperlink(E52)</f>
        <v>https://intra.senado.leg.br/sigad/novo/protocolo/impressao.asp?cod_protocolo=4289676&amp;area=documento</v>
      </c>
    </row>
    <row r="53" spans="1:12" ht="81" x14ac:dyDescent="0.25">
      <c r="A53" s="115"/>
      <c r="B53" s="224"/>
      <c r="C53" s="161"/>
      <c r="D53" s="338"/>
      <c r="E53" s="24" t="s">
        <v>25</v>
      </c>
      <c r="F53" s="119"/>
      <c r="G53" s="127"/>
      <c r="H53" s="128"/>
      <c r="I53" s="31" t="s">
        <v>127</v>
      </c>
      <c r="J53" s="91" t="str" cm="1">
        <f t="array" ref="J53">NomeDaCor(A53)</f>
        <v>Preto</v>
      </c>
      <c r="K53" s="450" t="str" cm="1">
        <f t="array" ref="K53">ExtrairHiperlink(D53)</f>
        <v>https://intra.senado.leg.br/sigad/novo/protocolo/impressao.asp?cod_protocolo=4260604&amp;area=processo</v>
      </c>
      <c r="L53" t="str" cm="1">
        <f t="array" ref="L53">ExtrairHiperlink(E53)</f>
        <v>https://intra.senado.leg.br/sigad/novo/protocolo/impressao.asp?cod_protocolo=4289676&amp;area=documento</v>
      </c>
    </row>
    <row r="54" spans="1:12" ht="60" x14ac:dyDescent="0.25">
      <c r="A54" s="323"/>
      <c r="B54" s="105">
        <v>45693</v>
      </c>
      <c r="C54" s="107" t="s">
        <v>63</v>
      </c>
      <c r="D54" s="132" t="s">
        <v>38</v>
      </c>
      <c r="E54" s="2" t="s">
        <v>39</v>
      </c>
      <c r="F54" s="107" t="s">
        <v>128</v>
      </c>
      <c r="G54" s="147" t="s">
        <v>129</v>
      </c>
      <c r="H54" s="92"/>
      <c r="I54" s="198" t="s">
        <v>130</v>
      </c>
      <c r="J54" s="91" t="str" cm="1">
        <f t="array" ref="J54">NomeDaCor(A54)</f>
        <v>Azul</v>
      </c>
      <c r="K54" s="450" t="str" cm="1">
        <f t="array" ref="K54">ExtrairHiperlink(D54)</f>
        <v>https://intra.senado.leg.br/sigad/novo/protocolo/impressao.asp?cod_protocolo=4227195</v>
      </c>
      <c r="L54" t="str" cm="1">
        <f t="array" ref="L54">ExtrairHiperlink(E54)</f>
        <v>https://intra.senado.leg.br/sigad/novo/protocolo/impressao.asp?area=processo&amp;cod_protocolo=4236444&amp;cod_frente_verso=&amp;cod_juntada=&amp;txt_funcao=</v>
      </c>
    </row>
    <row r="55" spans="1:12" ht="81" x14ac:dyDescent="0.25">
      <c r="A55" s="325"/>
      <c r="B55" s="106"/>
      <c r="C55" s="109"/>
      <c r="D55" s="146"/>
      <c r="E55" s="7" t="s">
        <v>25</v>
      </c>
      <c r="F55" s="108"/>
      <c r="G55" s="111"/>
      <c r="H55" s="93"/>
      <c r="I55" s="199"/>
      <c r="J55" s="91" t="str" cm="1">
        <f t="array" ref="J55">NomeDaCor(A55)</f>
        <v>Azul</v>
      </c>
      <c r="K55" s="450" t="str" cm="1">
        <f t="array" ref="K55">ExtrairHiperlink(D55)</f>
        <v>https://intra.senado.leg.br/sigad/novo/protocolo/impressao.asp?cod_protocolo=4227195</v>
      </c>
      <c r="L55" t="str" cm="1">
        <f t="array" ref="L55">ExtrairHiperlink(E55)</f>
        <v>https://intra.senado.leg.br/sigad/novo/protocolo/impressao.asp?area=processo&amp;cod_protocolo=4236444&amp;cod_frente_verso=&amp;cod_juntada=&amp;txt_funcao=</v>
      </c>
    </row>
    <row r="56" spans="1:12" ht="60" x14ac:dyDescent="0.25">
      <c r="A56" s="279"/>
      <c r="B56" s="105">
        <v>45693</v>
      </c>
      <c r="C56" s="107" t="s">
        <v>63</v>
      </c>
      <c r="D56" s="132" t="s">
        <v>38</v>
      </c>
      <c r="E56" s="2" t="s">
        <v>39</v>
      </c>
      <c r="F56" s="107" t="s">
        <v>131</v>
      </c>
      <c r="G56" s="147" t="s">
        <v>132</v>
      </c>
      <c r="H56" s="92"/>
      <c r="I56" s="197" t="s">
        <v>130</v>
      </c>
      <c r="J56" s="91" t="str" cm="1">
        <f t="array" ref="J56">NomeDaCor(A56)</f>
        <v>Roxo</v>
      </c>
      <c r="K56" s="450" t="str" cm="1">
        <f t="array" ref="K56">ExtrairHiperlink(D56)</f>
        <v>https://intra.senado.leg.br/sigad/novo/protocolo/impressao.asp?cod_protocolo=4227195</v>
      </c>
      <c r="L56" t="str" cm="1">
        <f t="array" ref="L56">ExtrairHiperlink(E56)</f>
        <v>https://intra.senado.leg.br/sigad/novo/protocolo/impressao.asp?area=processo&amp;cod_protocolo=4236444&amp;cod_frente_verso=&amp;cod_juntada=&amp;txt_funcao=</v>
      </c>
    </row>
    <row r="57" spans="1:12" ht="81" x14ac:dyDescent="0.25">
      <c r="A57" s="281"/>
      <c r="B57" s="106"/>
      <c r="C57" s="109"/>
      <c r="D57" s="146"/>
      <c r="E57" s="7" t="s">
        <v>25</v>
      </c>
      <c r="F57" s="108"/>
      <c r="G57" s="111"/>
      <c r="H57" s="93"/>
      <c r="I57" s="199"/>
      <c r="J57" s="91" t="str" cm="1">
        <f t="array" ref="J57">NomeDaCor(A57)</f>
        <v>Roxo</v>
      </c>
      <c r="K57" s="450" t="str" cm="1">
        <f t="array" ref="K57">ExtrairHiperlink(D57)</f>
        <v>https://intra.senado.leg.br/sigad/novo/protocolo/impressao.asp?cod_protocolo=4227195</v>
      </c>
      <c r="L57" t="str" cm="1">
        <f t="array" ref="L57">ExtrairHiperlink(E57)</f>
        <v>https://intra.senado.leg.br/sigad/novo/protocolo/impressao.asp?area=processo&amp;cod_protocolo=4236444&amp;cod_frente_verso=&amp;cod_juntada=&amp;txt_funcao=</v>
      </c>
    </row>
    <row r="58" spans="1:12" ht="60" x14ac:dyDescent="0.25">
      <c r="A58" s="282"/>
      <c r="B58" s="105">
        <v>45728</v>
      </c>
      <c r="C58" s="145" t="s">
        <v>114</v>
      </c>
      <c r="D58" s="132" t="s">
        <v>115</v>
      </c>
      <c r="E58" s="2" t="s">
        <v>116</v>
      </c>
      <c r="F58" s="107" t="s">
        <v>133</v>
      </c>
      <c r="G58" s="135">
        <v>45754</v>
      </c>
      <c r="H58" s="92"/>
      <c r="I58" s="197" t="s">
        <v>130</v>
      </c>
      <c r="J58" s="91" t="str" cm="1">
        <f t="array" ref="J58">NomeDaCor(A58)</f>
        <v>Verde</v>
      </c>
      <c r="K58" s="450" t="str" cm="1">
        <f t="array" ref="K58">ExtrairHiperlink(D58)</f>
        <v>https://intra.senado.leg.br/sigad/novo/protocolo/impressao.asp?cod_protocolo=4269985&amp;area=processo</v>
      </c>
      <c r="L58" t="str" cm="1">
        <f t="array" ref="L58">ExtrairHiperlink(E58)</f>
        <v>https://intra.senado.leg.br/sigad/novo/protocolo/impressao.asp?area=processo&amp;cod_protocolo=4269913&amp;cod_frente_verso=&amp;cod_juntada=&amp;txt_funcao=</v>
      </c>
    </row>
    <row r="59" spans="1:12" ht="81" x14ac:dyDescent="0.25">
      <c r="A59" s="284"/>
      <c r="B59" s="106"/>
      <c r="C59" s="109"/>
      <c r="D59" s="146"/>
      <c r="E59" s="7" t="s">
        <v>25</v>
      </c>
      <c r="F59" s="109"/>
      <c r="G59" s="171"/>
      <c r="H59" s="93"/>
      <c r="I59" s="199"/>
      <c r="J59" s="91" t="str" cm="1">
        <f t="array" ref="J59">NomeDaCor(A59)</f>
        <v>Verde</v>
      </c>
      <c r="K59" s="450" t="str" cm="1">
        <f t="array" ref="K59">ExtrairHiperlink(D59)</f>
        <v>https://intra.senado.leg.br/sigad/novo/protocolo/impressao.asp?cod_protocolo=4269985&amp;area=processo</v>
      </c>
      <c r="L59" t="str" cm="1">
        <f t="array" ref="L59">ExtrairHiperlink(E59)</f>
        <v>https://intra.senado.leg.br/sigad/novo/protocolo/impressao.asp?area=processo&amp;cod_protocolo=4269913&amp;cod_frente_verso=&amp;cod_juntada=&amp;txt_funcao=</v>
      </c>
    </row>
    <row r="60" spans="1:12" x14ac:dyDescent="0.25">
      <c r="A60" s="154" t="s">
        <v>18</v>
      </c>
      <c r="B60" s="155"/>
      <c r="C60" s="156" t="s">
        <v>114</v>
      </c>
      <c r="D60" s="150"/>
      <c r="E60" s="418"/>
      <c r="F60" s="156" t="s">
        <v>134</v>
      </c>
      <c r="G60" s="148" t="s">
        <v>135</v>
      </c>
      <c r="H60" s="150"/>
      <c r="I60" s="417" t="s">
        <v>136</v>
      </c>
      <c r="J60" s="91" t="str" cm="1">
        <f t="array" ref="J60">NomeDaCor(A60)</f>
        <v>Preto</v>
      </c>
      <c r="K60" s="450" t="str" cm="1">
        <f t="array" ref="K60">ExtrairHiperlink(D60)</f>
        <v>https://intra.senado.leg.br/sigad/novo/protocolo/impressao.asp?cod_protocolo=4269985&amp;area=processo</v>
      </c>
      <c r="L60" t="str" cm="1">
        <f t="array" ref="L60">ExtrairHiperlink(E60)</f>
        <v>https://intra.senado.leg.br/sigad/novo/protocolo/impressao.asp?area=processo&amp;cod_protocolo=4269913&amp;cod_frente_verso=&amp;cod_juntada=&amp;txt_funcao=</v>
      </c>
    </row>
    <row r="61" spans="1:12" x14ac:dyDescent="0.25">
      <c r="A61" s="115"/>
      <c r="B61" s="224"/>
      <c r="C61" s="161"/>
      <c r="D61" s="121"/>
      <c r="E61" s="419"/>
      <c r="F61" s="119"/>
      <c r="G61" s="127"/>
      <c r="H61" s="128"/>
      <c r="I61" s="331"/>
      <c r="J61" s="91" t="str" cm="1">
        <f t="array" ref="J61">NomeDaCor(A61)</f>
        <v>Preto</v>
      </c>
      <c r="K61" s="450" t="str" cm="1">
        <f t="array" ref="K61">ExtrairHiperlink(D61)</f>
        <v>https://intra.senado.leg.br/sigad/novo/protocolo/impressao.asp?cod_protocolo=4269985&amp;area=processo</v>
      </c>
      <c r="L61" t="str" cm="1">
        <f t="array" ref="L61">ExtrairHiperlink(E61)</f>
        <v>https://intra.senado.leg.br/sigad/novo/protocolo/impressao.asp?area=processo&amp;cod_protocolo=4269913&amp;cod_frente_verso=&amp;cod_juntada=&amp;txt_funcao=</v>
      </c>
    </row>
    <row r="62" spans="1:12" ht="60" x14ac:dyDescent="0.25">
      <c r="A62" s="269"/>
      <c r="B62" s="105">
        <v>45692</v>
      </c>
      <c r="C62" s="107" t="s">
        <v>55</v>
      </c>
      <c r="D62" s="132" t="s">
        <v>137</v>
      </c>
      <c r="E62" s="2" t="s">
        <v>138</v>
      </c>
      <c r="F62" s="107" t="s">
        <v>139</v>
      </c>
      <c r="G62" s="110">
        <v>45755</v>
      </c>
      <c r="H62" s="92"/>
      <c r="I62" s="197" t="s">
        <v>140</v>
      </c>
      <c r="J62" s="91" t="str" cm="1">
        <f t="array" ref="J62">NomeDaCor(A62)</f>
        <v>Amarelo</v>
      </c>
      <c r="K62" s="450" t="str" cm="1">
        <f t="array" ref="K62">ExtrairHiperlink(D62)</f>
        <v>https://intra.senado.leg.br/sigad/novo/protocolo/impressao.asp?cod_protocolo=4228774&amp;area=processo</v>
      </c>
      <c r="L62" t="str" cm="1">
        <f t="array" ref="L62">ExtrairHiperlink(E62)</f>
        <v>https://intra.senado.leg.br/sigad/novo/protocolo/impressao.asp?cod_protocolo=4241698&amp;area=documento</v>
      </c>
    </row>
    <row r="63" spans="1:12" ht="81" x14ac:dyDescent="0.25">
      <c r="A63" s="271"/>
      <c r="B63" s="106"/>
      <c r="C63" s="109"/>
      <c r="D63" s="146"/>
      <c r="E63" s="7" t="s">
        <v>25</v>
      </c>
      <c r="F63" s="109"/>
      <c r="G63" s="111"/>
      <c r="H63" s="93"/>
      <c r="I63" s="199"/>
      <c r="J63" s="91" t="str" cm="1">
        <f t="array" ref="J63">NomeDaCor(A63)</f>
        <v>Amarelo</v>
      </c>
      <c r="K63" s="450" t="str" cm="1">
        <f t="array" ref="K63">ExtrairHiperlink(D63)</f>
        <v>https://intra.senado.leg.br/sigad/novo/protocolo/impressao.asp?cod_protocolo=4228774&amp;area=processo</v>
      </c>
      <c r="L63" t="str" cm="1">
        <f t="array" ref="L63">ExtrairHiperlink(E63)</f>
        <v>https://intra.senado.leg.br/sigad/novo/protocolo/impressao.asp?cod_protocolo=4241698&amp;area=documento</v>
      </c>
    </row>
    <row r="64" spans="1:12" ht="60" x14ac:dyDescent="0.25">
      <c r="A64" s="321"/>
      <c r="B64" s="105">
        <v>45713</v>
      </c>
      <c r="C64" s="107" t="s">
        <v>141</v>
      </c>
      <c r="D64" s="132" t="s">
        <v>142</v>
      </c>
      <c r="E64" s="17" t="s">
        <v>143</v>
      </c>
      <c r="F64" s="107" t="s">
        <v>144</v>
      </c>
      <c r="G64" s="135" t="s">
        <v>145</v>
      </c>
      <c r="H64" s="92"/>
      <c r="I64" s="197" t="s">
        <v>146</v>
      </c>
      <c r="J64" s="91" t="str" cm="1">
        <f t="array" ref="J64">NomeDaCor(A64)</f>
        <v>Laranja</v>
      </c>
      <c r="K64" s="450" t="str" cm="1">
        <f t="array" ref="K64">ExtrairHiperlink(D64)</f>
        <v>https://intra.senado.leg.br/sigad/novo/protocolo/impressao.asp?cod_protocolo=4254318&amp;area=processo</v>
      </c>
      <c r="L64" t="str" cm="1">
        <f t="array" ref="L64">ExtrairHiperlink(E64)</f>
        <v>https://intra.senado.leg.br/sigad/novo/protocolo/impressao.asp?area=processo&amp;cod_protocolo=4304053&amp;cod_frente_verso=&amp;cod_juntada=&amp;txt_funcao=</v>
      </c>
    </row>
    <row r="65" spans="1:12" ht="81" x14ac:dyDescent="0.25">
      <c r="A65" s="322"/>
      <c r="B65" s="106"/>
      <c r="C65" s="109"/>
      <c r="D65" s="366"/>
      <c r="E65" s="7" t="s">
        <v>25</v>
      </c>
      <c r="F65" s="365"/>
      <c r="G65" s="111"/>
      <c r="H65" s="93"/>
      <c r="I65" s="199"/>
      <c r="J65" s="91" t="str" cm="1">
        <f t="array" ref="J65">NomeDaCor(A65)</f>
        <v>Laranja</v>
      </c>
      <c r="K65" s="450" t="str" cm="1">
        <f t="array" ref="K65">ExtrairHiperlink(D65)</f>
        <v>https://intra.senado.leg.br/sigad/novo/protocolo/impressao.asp?cod_protocolo=4254318&amp;area=processo</v>
      </c>
      <c r="L65" t="str" cm="1">
        <f t="array" ref="L65">ExtrairHiperlink(E65)</f>
        <v>https://intra.senado.leg.br/sigad/novo/protocolo/impressao.asp?area=processo&amp;cod_protocolo=4304053&amp;cod_frente_verso=&amp;cod_juntada=&amp;txt_funcao=</v>
      </c>
    </row>
    <row r="66" spans="1:12" ht="60" x14ac:dyDescent="0.25">
      <c r="A66" s="372"/>
      <c r="B66" s="404">
        <v>45754</v>
      </c>
      <c r="C66" s="406" t="s">
        <v>147</v>
      </c>
      <c r="D66" s="408" t="s">
        <v>148</v>
      </c>
      <c r="E66" s="32" t="s">
        <v>143</v>
      </c>
      <c r="F66" s="410" t="s">
        <v>149</v>
      </c>
      <c r="G66" s="411">
        <v>45757</v>
      </c>
      <c r="H66" s="413"/>
      <c r="I66" s="415" t="s">
        <v>150</v>
      </c>
      <c r="J66" s="91" t="str" cm="1">
        <f t="array" ref="J66">NomeDaCor(A66)</f>
        <v>Amarelo</v>
      </c>
      <c r="K66" s="450" t="str" cm="1">
        <f t="array" ref="K66">ExtrairHiperlink(D66)</f>
        <v>https://intra.senado.leg.br/sigad/novo/protocolo/impressao.asp?cod_protocolo=4254318&amp;area=processo</v>
      </c>
      <c r="L66" t="str" cm="1">
        <f t="array" ref="L66">ExtrairHiperlink(E66)</f>
        <v>https://intra.senado.leg.br/sigad/novo/protocolo/impressao.asp?area=processo&amp;cod_protocolo=4304053&amp;cod_frente_verso=&amp;cod_juntada=&amp;txt_funcao=</v>
      </c>
    </row>
    <row r="67" spans="1:12" ht="81" x14ac:dyDescent="0.25">
      <c r="A67" s="373"/>
      <c r="B67" s="405"/>
      <c r="C67" s="407"/>
      <c r="D67" s="409"/>
      <c r="E67" s="33" t="s">
        <v>25</v>
      </c>
      <c r="F67" s="407"/>
      <c r="G67" s="412"/>
      <c r="H67" s="414"/>
      <c r="I67" s="416"/>
      <c r="J67" s="91" t="str" cm="1">
        <f t="array" ref="J67">NomeDaCor(A67)</f>
        <v>Amarelo</v>
      </c>
      <c r="K67" s="450" t="str" cm="1">
        <f t="array" ref="K67">ExtrairHiperlink(D67)</f>
        <v>https://intra.senado.leg.br/sigad/novo/protocolo/impressao.asp?cod_protocolo=4254318&amp;area=processo</v>
      </c>
      <c r="L67" t="str" cm="1">
        <f t="array" ref="L67">ExtrairHiperlink(E67)</f>
        <v>https://intra.senado.leg.br/sigad/novo/protocolo/impressao.asp?area=processo&amp;cod_protocolo=4304053&amp;cod_frente_verso=&amp;cod_juntada=&amp;txt_funcao=</v>
      </c>
    </row>
    <row r="68" spans="1:12" ht="60" x14ac:dyDescent="0.25">
      <c r="A68" s="401"/>
      <c r="B68" s="105">
        <v>45728</v>
      </c>
      <c r="C68" s="107" t="s">
        <v>97</v>
      </c>
      <c r="D68" s="132" t="s">
        <v>151</v>
      </c>
      <c r="E68" s="2" t="s">
        <v>152</v>
      </c>
      <c r="F68" s="107" t="s">
        <v>153</v>
      </c>
      <c r="G68" s="147" t="s">
        <v>154</v>
      </c>
      <c r="H68" s="92"/>
      <c r="I68" s="197" t="s">
        <v>155</v>
      </c>
      <c r="J68" s="91" t="str" cm="1">
        <f t="array" ref="J68">NomeDaCor(A68)</f>
        <v>Verde</v>
      </c>
      <c r="K68" s="450" t="str" cm="1">
        <f t="array" ref="K68">ExtrairHiperlink(D68)</f>
        <v>https://intra.senado.leg.br/sigad/novo/protocolo/impressao.asp?cod_protocolo=4270544&amp;area=processo</v>
      </c>
      <c r="L68" t="str" cm="1">
        <f t="array" ref="L68">ExtrairHiperlink(E68)</f>
        <v>https://intra.senado.leg.br/sigad/novo/protocolo/impressao.asp?area=processo&amp;cod_protocolo=4270588&amp;cod_frente_verso=&amp;cod_juntada=&amp;txt_funcao=</v>
      </c>
    </row>
    <row r="69" spans="1:12" ht="81" x14ac:dyDescent="0.25">
      <c r="A69" s="402"/>
      <c r="B69" s="106"/>
      <c r="C69" s="109"/>
      <c r="D69" s="146"/>
      <c r="E69" s="7" t="s">
        <v>25</v>
      </c>
      <c r="F69" s="109"/>
      <c r="G69" s="169"/>
      <c r="H69" s="153"/>
      <c r="I69" s="198"/>
      <c r="J69" s="91" t="str" cm="1">
        <f t="array" ref="J69">NomeDaCor(A69)</f>
        <v>Verde</v>
      </c>
      <c r="K69" s="450" t="str" cm="1">
        <f t="array" ref="K69">ExtrairHiperlink(D69)</f>
        <v>https://intra.senado.leg.br/sigad/novo/protocolo/impressao.asp?cod_protocolo=4270544&amp;area=processo</v>
      </c>
      <c r="L69" t="str" cm="1">
        <f t="array" ref="L69">ExtrairHiperlink(E69)</f>
        <v>https://intra.senado.leg.br/sigad/novo/protocolo/impressao.asp?area=processo&amp;cod_protocolo=4270588&amp;cod_frente_verso=&amp;cod_juntada=&amp;txt_funcao=</v>
      </c>
    </row>
    <row r="70" spans="1:12" ht="60" x14ac:dyDescent="0.25">
      <c r="A70" s="402"/>
      <c r="B70" s="105">
        <v>45733</v>
      </c>
      <c r="C70" s="107" t="s">
        <v>55</v>
      </c>
      <c r="D70" s="132" t="s">
        <v>156</v>
      </c>
      <c r="E70" s="2" t="s">
        <v>157</v>
      </c>
      <c r="F70" s="107" t="s">
        <v>158</v>
      </c>
      <c r="G70" s="169"/>
      <c r="H70" s="153"/>
      <c r="I70" s="198"/>
      <c r="J70" s="91" t="str" cm="1">
        <f t="array" ref="J70">NomeDaCor(A70)</f>
        <v>Verde</v>
      </c>
      <c r="K70" s="450" t="str" cm="1">
        <f t="array" ref="K70">ExtrairHiperlink(D70)</f>
        <v>https://intra.senado.leg.br/sigad/novo/protocolo/impressao.asp?cod_protocolo=4276705&amp;area=processo</v>
      </c>
      <c r="L70" t="str" cm="1">
        <f t="array" ref="L70">ExtrairHiperlink(E70)</f>
        <v>https://intra.senado.leg.br/sigad/novo/protocolo/impressao.asp?area=processo&amp;cod_protocolo=4276835&amp;cod_frente_verso=&amp;cod_juntada=&amp;txt_funcao=</v>
      </c>
    </row>
    <row r="71" spans="1:12" ht="81" x14ac:dyDescent="0.25">
      <c r="A71" s="403"/>
      <c r="B71" s="106"/>
      <c r="C71" s="109"/>
      <c r="D71" s="146"/>
      <c r="E71" s="7" t="s">
        <v>25</v>
      </c>
      <c r="F71" s="109"/>
      <c r="G71" s="171"/>
      <c r="H71" s="93"/>
      <c r="I71" s="199"/>
      <c r="J71" s="91" t="str" cm="1">
        <f t="array" ref="J71">NomeDaCor(A71)</f>
        <v>Verde</v>
      </c>
      <c r="K71" s="450" t="str" cm="1">
        <f t="array" ref="K71">ExtrairHiperlink(D71)</f>
        <v>https://intra.senado.leg.br/sigad/novo/protocolo/impressao.asp?cod_protocolo=4276705&amp;area=processo</v>
      </c>
      <c r="L71" t="str" cm="1">
        <f t="array" ref="L71">ExtrairHiperlink(E71)</f>
        <v>https://intra.senado.leg.br/sigad/novo/protocolo/impressao.asp?area=processo&amp;cod_protocolo=4276835&amp;cod_frente_verso=&amp;cod_juntada=&amp;txt_funcao=</v>
      </c>
    </row>
    <row r="72" spans="1:12" ht="60" x14ac:dyDescent="0.25">
      <c r="A72" s="399"/>
      <c r="B72" s="105">
        <v>45680</v>
      </c>
      <c r="C72" s="107" t="s">
        <v>159</v>
      </c>
      <c r="D72" s="132" t="s">
        <v>160</v>
      </c>
      <c r="E72" s="2" t="s">
        <v>161</v>
      </c>
      <c r="F72" s="107" t="s">
        <v>162</v>
      </c>
      <c r="G72" s="147" t="s">
        <v>163</v>
      </c>
      <c r="H72" s="92"/>
      <c r="I72" s="197" t="s">
        <v>164</v>
      </c>
      <c r="J72" s="91" t="str" cm="1">
        <f t="array" ref="J72">NomeDaCor(A72)</f>
        <v>Vermelho</v>
      </c>
      <c r="K72" s="450" t="str" cm="1">
        <f t="array" ref="K72">ExtrairHiperlink(D72)</f>
        <v>https://intra.senado.leg.br/sigad/novo/protocolo/impressao.asp?cod_protocolo=4213562&amp;area=processo</v>
      </c>
      <c r="L72" t="str" cm="1">
        <f t="array" ref="L72">ExtrairHiperlink(E72)</f>
        <v>https://intra.senado.leg.br/sigad/novo/protocolo/impressao.asp?area=processo&amp;cod_protocolo=4308489&amp;cod_frente_verso=&amp;cod_juntada=&amp;txt_funcao=</v>
      </c>
    </row>
    <row r="73" spans="1:12" ht="81" x14ac:dyDescent="0.25">
      <c r="A73" s="400"/>
      <c r="B73" s="106"/>
      <c r="C73" s="109"/>
      <c r="D73" s="146"/>
      <c r="E73" s="7" t="s">
        <v>25</v>
      </c>
      <c r="F73" s="109"/>
      <c r="G73" s="171"/>
      <c r="H73" s="93"/>
      <c r="I73" s="199"/>
      <c r="J73" s="91" t="str" cm="1">
        <f t="array" ref="J73">NomeDaCor(A73)</f>
        <v>Vermelho</v>
      </c>
      <c r="K73" s="450" t="str" cm="1">
        <f t="array" ref="K73">ExtrairHiperlink(D73)</f>
        <v>https://intra.senado.leg.br/sigad/novo/protocolo/impressao.asp?cod_protocolo=4213562&amp;area=processo</v>
      </c>
      <c r="L73" t="str" cm="1">
        <f t="array" ref="L73">ExtrairHiperlink(E73)</f>
        <v>https://intra.senado.leg.br/sigad/novo/protocolo/impressao.asp?area=processo&amp;cod_protocolo=4308489&amp;cod_frente_verso=&amp;cod_juntada=&amp;txt_funcao=</v>
      </c>
    </row>
    <row r="74" spans="1:12" ht="60" x14ac:dyDescent="0.25">
      <c r="A74" s="396"/>
      <c r="B74" s="97">
        <v>45706</v>
      </c>
      <c r="C74" s="344" t="s">
        <v>165</v>
      </c>
      <c r="D74" s="100" t="s">
        <v>166</v>
      </c>
      <c r="E74" s="3" t="s">
        <v>167</v>
      </c>
      <c r="F74" s="98" t="s">
        <v>168</v>
      </c>
      <c r="G74" s="308">
        <v>45769</v>
      </c>
      <c r="H74" s="184"/>
      <c r="I74" s="197" t="s">
        <v>164</v>
      </c>
      <c r="J74" s="91" t="str" cm="1">
        <f t="array" ref="J74">NomeDaCor(A74)</f>
        <v>Marrom</v>
      </c>
      <c r="K74" s="450" t="str" cm="1">
        <f t="array" ref="K74">ExtrairHiperlink(D74)</f>
        <v>https://intra.senado.leg.br/sigad/novo/protocolo/impressao.asp?cod_protocolo=4245649&amp;area=processo</v>
      </c>
      <c r="L74" t="str" cm="1">
        <f t="array" ref="L74">ExtrairHiperlink(E74)</f>
        <v>https://intra.senado.leg.br/sigad/novo/protocolo/impressao.asp?area=processo&amp;cod_protocolo=4245855&amp;cod_frente_verso=&amp;cod_juntada=&amp;txt_funcao=</v>
      </c>
    </row>
    <row r="75" spans="1:12" ht="81" x14ac:dyDescent="0.25">
      <c r="A75" s="396"/>
      <c r="B75" s="97"/>
      <c r="C75" s="98"/>
      <c r="D75" s="397"/>
      <c r="E75" s="7" t="s">
        <v>25</v>
      </c>
      <c r="F75" s="398"/>
      <c r="G75" s="102"/>
      <c r="H75" s="184"/>
      <c r="I75" s="199"/>
      <c r="J75" s="91" t="str" cm="1">
        <f t="array" ref="J75">NomeDaCor(A75)</f>
        <v>Marrom</v>
      </c>
      <c r="K75" s="450" t="str" cm="1">
        <f t="array" ref="K75">ExtrairHiperlink(D75)</f>
        <v>https://intra.senado.leg.br/sigad/novo/protocolo/impressao.asp?cod_protocolo=4245649&amp;area=processo</v>
      </c>
      <c r="L75" t="str" cm="1">
        <f t="array" ref="L75">ExtrairHiperlink(E75)</f>
        <v>https://intra.senado.leg.br/sigad/novo/protocolo/impressao.asp?area=processo&amp;cod_protocolo=4245855&amp;cod_frente_verso=&amp;cod_juntada=&amp;txt_funcao=</v>
      </c>
    </row>
    <row r="76" spans="1:12" ht="60" x14ac:dyDescent="0.25">
      <c r="A76" s="389" t="s">
        <v>18</v>
      </c>
      <c r="B76" s="218">
        <v>45705</v>
      </c>
      <c r="C76" s="119" t="s">
        <v>169</v>
      </c>
      <c r="D76" s="21" t="s">
        <v>170</v>
      </c>
      <c r="E76" s="34" t="s">
        <v>171</v>
      </c>
      <c r="F76" s="393" t="s">
        <v>172</v>
      </c>
      <c r="G76" s="149" t="s">
        <v>173</v>
      </c>
      <c r="H76" s="395"/>
      <c r="I76" s="386"/>
      <c r="J76" s="91" t="str" cm="1">
        <f t="array" ref="J76">NomeDaCor(A76)</f>
        <v>Preto</v>
      </c>
      <c r="K76" s="450" t="str" cm="1">
        <f t="array" ref="K76">ExtrairHiperlink(D76)</f>
        <v>https://intra.senado.leg.br/sigad/novo/protocolo/impressao.asp?cod_protocolo=4244901&amp;area=processo</v>
      </c>
      <c r="L76" t="str" cm="1">
        <f t="array" ref="L76">ExtrairHiperlink(E76)</f>
        <v>https://intra.senado.leg.br/sigad/novo/protocolo/impressao.asp?cod_protocolo=4244919&amp;area=documento</v>
      </c>
    </row>
    <row r="77" spans="1:12" ht="81" x14ac:dyDescent="0.25">
      <c r="A77" s="390"/>
      <c r="B77" s="391"/>
      <c r="C77" s="392"/>
      <c r="D77" s="35" t="s">
        <v>174</v>
      </c>
      <c r="E77" s="36" t="s">
        <v>25</v>
      </c>
      <c r="F77" s="156"/>
      <c r="G77" s="394"/>
      <c r="H77" s="395"/>
      <c r="I77" s="387"/>
      <c r="J77" s="91" t="str" cm="1">
        <f t="array" ref="J77">NomeDaCor(A77)</f>
        <v>Preto</v>
      </c>
      <c r="K77" s="450" t="str" cm="1">
        <f t="array" ref="K77">ExtrairHiperlink(D77)</f>
        <v>https://intra.senado.leg.br/sigad/novo/protocolo/impressao.asp?cod_protocolo=4245053&amp;area=processo</v>
      </c>
      <c r="L77" t="str" cm="1">
        <f t="array" ref="L77">ExtrairHiperlink(E77)</f>
        <v>https://intra.senado.leg.br/sigad/novo/protocolo/impressao.asp?cod_protocolo=4244919&amp;area=documento</v>
      </c>
    </row>
    <row r="78" spans="1:12" ht="60" x14ac:dyDescent="0.25">
      <c r="A78" s="223" t="s">
        <v>18</v>
      </c>
      <c r="B78" s="224">
        <v>45757</v>
      </c>
      <c r="C78" s="118" t="s">
        <v>175</v>
      </c>
      <c r="D78" s="388" t="s">
        <v>176</v>
      </c>
      <c r="E78" s="23" t="s">
        <v>177</v>
      </c>
      <c r="F78" s="118" t="s">
        <v>178</v>
      </c>
      <c r="G78" s="126" t="s">
        <v>179</v>
      </c>
      <c r="H78" s="120"/>
      <c r="I78" s="38" t="s">
        <v>180</v>
      </c>
      <c r="J78" s="91" t="str" cm="1">
        <f t="array" ref="J78">NomeDaCor(A78)</f>
        <v>Preto</v>
      </c>
      <c r="K78" s="450" t="str" cm="1">
        <f t="array" ref="K78">ExtrairHiperlink(D78)</f>
        <v>https://intra.senado.leg.br/sigad/novo/protocolo/impressao.asp?cod_protocolo=4308919&amp;area=processo</v>
      </c>
      <c r="L78" t="str" cm="1">
        <f t="array" ref="L78">ExtrairHiperlink(E78)</f>
        <v>https://intra.senado.leg.br/sigad/novo/protocolo/impressao.asp?area=processo&amp;cod_protocolo=4324901&amp;cod_frente_verso=&amp;cod_juntada=&amp;txt_funcao=</v>
      </c>
    </row>
    <row r="79" spans="1:12" ht="81" x14ac:dyDescent="0.25">
      <c r="A79" s="115"/>
      <c r="B79" s="224"/>
      <c r="C79" s="119"/>
      <c r="D79" s="158"/>
      <c r="E79" s="6" t="s">
        <v>25</v>
      </c>
      <c r="F79" s="119"/>
      <c r="G79" s="127"/>
      <c r="H79" s="121"/>
      <c r="I79" s="31" t="s">
        <v>181</v>
      </c>
      <c r="J79" s="91" t="str" cm="1">
        <f t="array" ref="J79">NomeDaCor(A79)</f>
        <v>Preto</v>
      </c>
      <c r="K79" s="450" t="str" cm="1">
        <f t="array" ref="K79">ExtrairHiperlink(D79)</f>
        <v>https://intra.senado.leg.br/sigad/novo/protocolo/impressao.asp?cod_protocolo=4308919&amp;area=processo</v>
      </c>
      <c r="L79" t="str" cm="1">
        <f t="array" ref="L79">ExtrairHiperlink(E79)</f>
        <v>https://intra.senado.leg.br/sigad/novo/protocolo/impressao.asp?area=processo&amp;cod_protocolo=4324901&amp;cod_frente_verso=&amp;cod_juntada=&amp;txt_funcao=</v>
      </c>
    </row>
    <row r="80" spans="1:12" ht="60" x14ac:dyDescent="0.25">
      <c r="A80" s="383"/>
      <c r="B80" s="97">
        <v>45729</v>
      </c>
      <c r="C80" s="98" t="s">
        <v>182</v>
      </c>
      <c r="D80" s="100" t="s">
        <v>183</v>
      </c>
      <c r="E80" s="2" t="s">
        <v>184</v>
      </c>
      <c r="F80" s="98" t="s">
        <v>185</v>
      </c>
      <c r="G80" s="147" t="s">
        <v>186</v>
      </c>
      <c r="H80" s="92"/>
      <c r="I80" s="198" t="s">
        <v>187</v>
      </c>
      <c r="J80" s="91" t="str" cm="1">
        <f t="array" ref="J80">NomeDaCor(A80)</f>
        <v>Verde</v>
      </c>
      <c r="K80" s="450" t="str" cm="1">
        <f t="array" ref="K80">ExtrairHiperlink(D80)</f>
        <v>https://intra.senado.leg.br/sigad/novo/protocolo/impressao.asp?cod_protocolo=4271988&amp;area=processo</v>
      </c>
      <c r="L80" t="str" cm="1">
        <f t="array" ref="L80">ExtrairHiperlink(E80)</f>
        <v>https://intra.senado.leg.br/sigad/novo/protocolo/impressao.asp?area=processo&amp;cod_protocolo=4272112&amp;cod_frente_verso=&amp;cod_juntada=&amp;txt_funcao=</v>
      </c>
    </row>
    <row r="81" spans="1:12" ht="81" x14ac:dyDescent="0.25">
      <c r="A81" s="384"/>
      <c r="B81" s="97"/>
      <c r="C81" s="98"/>
      <c r="D81" s="100"/>
      <c r="E81" s="10" t="s">
        <v>46</v>
      </c>
      <c r="F81" s="98"/>
      <c r="G81" s="169"/>
      <c r="H81" s="153"/>
      <c r="I81" s="198"/>
      <c r="J81" s="91" t="str" cm="1">
        <f t="array" ref="J81">NomeDaCor(A81)</f>
        <v>Verde</v>
      </c>
      <c r="K81" s="450" t="str" cm="1">
        <f t="array" ref="K81">ExtrairHiperlink(D81)</f>
        <v>https://intra.senado.leg.br/sigad/novo/protocolo/impressao.asp?cod_protocolo=4271988&amp;area=processo</v>
      </c>
      <c r="L81" t="str" cm="1">
        <f t="array" ref="L81">ExtrairHiperlink(E81)</f>
        <v>https://intra.senado.leg.br/sigad/novo/protocolo/impressao.asp?area=processo&amp;cod_protocolo=4272112&amp;cod_frente_verso=&amp;cod_juntada=&amp;txt_funcao=</v>
      </c>
    </row>
    <row r="82" spans="1:12" ht="60" x14ac:dyDescent="0.25">
      <c r="A82" s="384"/>
      <c r="B82" s="97">
        <v>45734</v>
      </c>
      <c r="C82" s="107" t="s">
        <v>188</v>
      </c>
      <c r="D82" s="132" t="s">
        <v>189</v>
      </c>
      <c r="E82" s="2" t="s">
        <v>190</v>
      </c>
      <c r="F82" s="107" t="s">
        <v>191</v>
      </c>
      <c r="G82" s="169"/>
      <c r="H82" s="153"/>
      <c r="I82" s="198"/>
      <c r="J82" s="91" t="str" cm="1">
        <f t="array" ref="J82">NomeDaCor(A82)</f>
        <v>Verde</v>
      </c>
      <c r="K82" s="450" t="str" cm="1">
        <f t="array" ref="K82">ExtrairHiperlink(D82)</f>
        <v>https://intra.senado.leg.br/sigad/novo/protocolo/impressao.asp?cod_protocolo=4277567&amp;area=processo</v>
      </c>
      <c r="L82" t="str" cm="1">
        <f t="array" ref="L82">ExtrairHiperlink(E82)</f>
        <v>https://intra.senado.leg.br/sigad/novo/protocolo/impressao.asp?area=processo&amp;cod_protocolo=4277686&amp;cod_frente_verso=&amp;cod_juntada=&amp;txt_funcao=</v>
      </c>
    </row>
    <row r="83" spans="1:12" ht="81" x14ac:dyDescent="0.25">
      <c r="A83" s="385"/>
      <c r="B83" s="97"/>
      <c r="C83" s="109"/>
      <c r="D83" s="366"/>
      <c r="E83" s="7" t="s">
        <v>25</v>
      </c>
      <c r="F83" s="365"/>
      <c r="G83" s="171"/>
      <c r="H83" s="93"/>
      <c r="I83" s="199"/>
      <c r="J83" s="91" t="str" cm="1">
        <f t="array" ref="J83">NomeDaCor(A83)</f>
        <v>Verde</v>
      </c>
      <c r="K83" s="450" t="str" cm="1">
        <f t="array" ref="K83">ExtrairHiperlink(D83)</f>
        <v>https://intra.senado.leg.br/sigad/novo/protocolo/impressao.asp?cod_protocolo=4277567&amp;area=processo</v>
      </c>
      <c r="L83" t="str" cm="1">
        <f t="array" ref="L83">ExtrairHiperlink(E83)</f>
        <v>https://intra.senado.leg.br/sigad/novo/protocolo/impressao.asp?area=processo&amp;cod_protocolo=4277686&amp;cod_frente_verso=&amp;cod_juntada=&amp;txt_funcao=</v>
      </c>
    </row>
    <row r="84" spans="1:12" ht="60" x14ac:dyDescent="0.25">
      <c r="A84" s="269"/>
      <c r="B84" s="105">
        <v>45728</v>
      </c>
      <c r="C84" s="145" t="s">
        <v>114</v>
      </c>
      <c r="D84" s="132" t="s">
        <v>115</v>
      </c>
      <c r="E84" s="2" t="s">
        <v>116</v>
      </c>
      <c r="F84" s="107" t="s">
        <v>192</v>
      </c>
      <c r="G84" s="135" t="s">
        <v>193</v>
      </c>
      <c r="H84" s="92"/>
      <c r="I84" s="197" t="s">
        <v>187</v>
      </c>
      <c r="J84" s="91" t="str" cm="1">
        <f t="array" ref="J84">NomeDaCor(A84)</f>
        <v>Amarelo</v>
      </c>
      <c r="K84" s="450" t="str" cm="1">
        <f t="array" ref="K84">ExtrairHiperlink(D84)</f>
        <v>https://intra.senado.leg.br/sigad/novo/protocolo/impressao.asp?cod_protocolo=4269985&amp;area=processo</v>
      </c>
      <c r="L84" t="str" cm="1">
        <f t="array" ref="L84">ExtrairHiperlink(E84)</f>
        <v>https://intra.senado.leg.br/sigad/novo/protocolo/impressao.asp?area=processo&amp;cod_protocolo=4269913&amp;cod_frente_verso=&amp;cod_juntada=&amp;txt_funcao=</v>
      </c>
    </row>
    <row r="85" spans="1:12" ht="81" x14ac:dyDescent="0.25">
      <c r="A85" s="271"/>
      <c r="B85" s="106"/>
      <c r="C85" s="109"/>
      <c r="D85" s="146"/>
      <c r="E85" s="7" t="s">
        <v>25</v>
      </c>
      <c r="F85" s="109"/>
      <c r="G85" s="171"/>
      <c r="H85" s="93"/>
      <c r="I85" s="199"/>
      <c r="J85" s="91" t="str" cm="1">
        <f t="array" ref="J85">NomeDaCor(A85)</f>
        <v>Amarelo</v>
      </c>
      <c r="K85" s="450" t="str" cm="1">
        <f t="array" ref="K85">ExtrairHiperlink(D85)</f>
        <v>https://intra.senado.leg.br/sigad/novo/protocolo/impressao.asp?cod_protocolo=4269985&amp;area=processo</v>
      </c>
      <c r="L85" t="str" cm="1">
        <f t="array" ref="L85">ExtrairHiperlink(E85)</f>
        <v>https://intra.senado.leg.br/sigad/novo/protocolo/impressao.asp?area=processo&amp;cod_protocolo=4269913&amp;cod_frente_verso=&amp;cod_juntada=&amp;txt_funcao=</v>
      </c>
    </row>
    <row r="86" spans="1:12" ht="60" x14ac:dyDescent="0.25">
      <c r="A86" s="381"/>
      <c r="B86" s="105">
        <v>45692</v>
      </c>
      <c r="C86" s="107" t="s">
        <v>55</v>
      </c>
      <c r="D86" s="132" t="s">
        <v>137</v>
      </c>
      <c r="E86" s="2" t="s">
        <v>138</v>
      </c>
      <c r="F86" s="107" t="s">
        <v>194</v>
      </c>
      <c r="G86" s="110">
        <v>45783</v>
      </c>
      <c r="H86" s="92"/>
      <c r="I86" s="197" t="s">
        <v>195</v>
      </c>
      <c r="J86" s="91" t="str" cm="1">
        <f t="array" ref="J86">NomeDaCor(A86)</f>
        <v>Lilás</v>
      </c>
      <c r="K86" s="450" t="str" cm="1">
        <f t="array" ref="K86">ExtrairHiperlink(D86)</f>
        <v>https://intra.senado.leg.br/sigad/novo/protocolo/impressao.asp?cod_protocolo=4228774&amp;area=processo</v>
      </c>
      <c r="L86" t="str" cm="1">
        <f t="array" ref="L86">ExtrairHiperlink(E86)</f>
        <v>https://intra.senado.leg.br/sigad/novo/protocolo/impressao.asp?cod_protocolo=4241698&amp;area=documento</v>
      </c>
    </row>
    <row r="87" spans="1:12" ht="81" x14ac:dyDescent="0.25">
      <c r="A87" s="382"/>
      <c r="B87" s="106"/>
      <c r="C87" s="109"/>
      <c r="D87" s="146"/>
      <c r="E87" s="39" t="s">
        <v>25</v>
      </c>
      <c r="F87" s="109"/>
      <c r="G87" s="111"/>
      <c r="H87" s="93"/>
      <c r="I87" s="199"/>
      <c r="J87" s="91" t="str" cm="1">
        <f t="array" ref="J87">NomeDaCor(A87)</f>
        <v>Lilás</v>
      </c>
      <c r="K87" s="450" t="str" cm="1">
        <f t="array" ref="K87">ExtrairHiperlink(D87)</f>
        <v>https://intra.senado.leg.br/sigad/novo/protocolo/impressao.asp?cod_protocolo=4228774&amp;area=processo</v>
      </c>
      <c r="L87" t="str" cm="1">
        <f t="array" ref="L87">ExtrairHiperlink(E87)</f>
        <v>https://intra.senado.leg.br/sigad/novo/protocolo/impressao.asp?cod_protocolo=4241698&amp;area=documento</v>
      </c>
    </row>
    <row r="88" spans="1:12" ht="60" x14ac:dyDescent="0.25">
      <c r="A88" s="372"/>
      <c r="B88" s="374">
        <v>45754</v>
      </c>
      <c r="C88" s="376" t="s">
        <v>147</v>
      </c>
      <c r="D88" s="378" t="s">
        <v>196</v>
      </c>
      <c r="E88" s="8" t="s">
        <v>197</v>
      </c>
      <c r="F88" s="380" t="s">
        <v>149</v>
      </c>
      <c r="G88" s="110">
        <v>45784</v>
      </c>
      <c r="H88" s="92"/>
      <c r="I88" s="197" t="s">
        <v>198</v>
      </c>
      <c r="J88" s="91" t="str" cm="1">
        <f t="array" ref="J88">NomeDaCor(A88)</f>
        <v>Amarelo</v>
      </c>
      <c r="K88" s="450" t="str" cm="1">
        <f t="array" ref="K88">ExtrairHiperlink(D88)</f>
        <v>https://intra.senado.leg.br/sigad/novo/protocolo/impressao.asp?cod_protocolo=4335416&amp;area=processo</v>
      </c>
      <c r="L88" t="str" cm="1">
        <f t="array" ref="L88">ExtrairHiperlink(E88)</f>
        <v>https://intra.senado.leg.br/sigad/novo/protocolo/impressao.asp?area=processo&amp;cod_protocolo=4335657&amp;cod_frente_verso=&amp;cod_juntada=&amp;txt_funcao=</v>
      </c>
    </row>
    <row r="89" spans="1:12" ht="81" x14ac:dyDescent="0.25">
      <c r="A89" s="373"/>
      <c r="B89" s="375"/>
      <c r="C89" s="377"/>
      <c r="D89" s="379"/>
      <c r="E89" s="20" t="s">
        <v>25</v>
      </c>
      <c r="F89" s="377"/>
      <c r="G89" s="111"/>
      <c r="H89" s="93"/>
      <c r="I89" s="199"/>
      <c r="J89" s="91" t="str" cm="1">
        <f t="array" ref="J89">NomeDaCor(A89)</f>
        <v>Amarelo</v>
      </c>
      <c r="K89" s="450" t="str" cm="1">
        <f t="array" ref="K89">ExtrairHiperlink(D89)</f>
        <v>https://intra.senado.leg.br/sigad/novo/protocolo/impressao.asp?cod_protocolo=4335416&amp;area=processo</v>
      </c>
      <c r="L89" t="str" cm="1">
        <f t="array" ref="L89">ExtrairHiperlink(E89)</f>
        <v>https://intra.senado.leg.br/sigad/novo/protocolo/impressao.asp?area=processo&amp;cod_protocolo=4335657&amp;cod_frente_verso=&amp;cod_juntada=&amp;txt_funcao=</v>
      </c>
    </row>
    <row r="90" spans="1:12" ht="60" x14ac:dyDescent="0.25">
      <c r="A90" s="323"/>
      <c r="B90" s="105">
        <v>45692</v>
      </c>
      <c r="C90" s="107" t="s">
        <v>55</v>
      </c>
      <c r="D90" s="132" t="s">
        <v>137</v>
      </c>
      <c r="E90" s="2" t="s">
        <v>138</v>
      </c>
      <c r="F90" s="107" t="s">
        <v>199</v>
      </c>
      <c r="G90" s="110">
        <v>45785</v>
      </c>
      <c r="H90" s="92"/>
      <c r="I90" s="197" t="s">
        <v>198</v>
      </c>
      <c r="J90" s="91" t="str" cm="1">
        <f t="array" ref="J90">NomeDaCor(A90)</f>
        <v>Azul</v>
      </c>
      <c r="K90" s="450" t="str" cm="1">
        <f t="array" ref="K90">ExtrairHiperlink(D90)</f>
        <v>https://intra.senado.leg.br/sigad/novo/protocolo/impressao.asp?cod_protocolo=4228774&amp;area=processo</v>
      </c>
      <c r="L90" t="str" cm="1">
        <f t="array" ref="L90">ExtrairHiperlink(E90)</f>
        <v>https://intra.senado.leg.br/sigad/novo/protocolo/impressao.asp?cod_protocolo=4241698&amp;area=documento</v>
      </c>
    </row>
    <row r="91" spans="1:12" ht="81" x14ac:dyDescent="0.25">
      <c r="A91" s="324"/>
      <c r="B91" s="106"/>
      <c r="C91" s="109"/>
      <c r="D91" s="146"/>
      <c r="E91" s="20" t="s">
        <v>25</v>
      </c>
      <c r="F91" s="109"/>
      <c r="G91" s="285"/>
      <c r="H91" s="153"/>
      <c r="I91" s="198"/>
      <c r="J91" s="91" t="str" cm="1">
        <f t="array" ref="J91">NomeDaCor(A91)</f>
        <v>Azul</v>
      </c>
      <c r="K91" s="450" t="str" cm="1">
        <f t="array" ref="K91">ExtrairHiperlink(D91)</f>
        <v>https://intra.senado.leg.br/sigad/novo/protocolo/impressao.asp?cod_protocolo=4228774&amp;area=processo</v>
      </c>
      <c r="L91" t="str" cm="1">
        <f t="array" ref="L91">ExtrairHiperlink(E91)</f>
        <v>https://intra.senado.leg.br/sigad/novo/protocolo/impressao.asp?cod_protocolo=4241698&amp;area=documento</v>
      </c>
    </row>
    <row r="92" spans="1:12" ht="60" x14ac:dyDescent="0.25">
      <c r="A92" s="324"/>
      <c r="B92" s="105">
        <v>45770</v>
      </c>
      <c r="C92" s="107" t="s">
        <v>97</v>
      </c>
      <c r="D92" s="132" t="s">
        <v>200</v>
      </c>
      <c r="E92" s="9" t="s">
        <v>201</v>
      </c>
      <c r="F92" s="107" t="s">
        <v>202</v>
      </c>
      <c r="G92" s="285"/>
      <c r="H92" s="153"/>
      <c r="I92" s="198"/>
      <c r="J92" s="91" t="str" cm="1">
        <f t="array" ref="J92">NomeDaCor(A92)</f>
        <v>Azul</v>
      </c>
      <c r="K92" s="450" t="str" cm="1">
        <f t="array" ref="K92">ExtrairHiperlink(D92)</f>
        <v>https://intra.senado.leg.br/sigad/novo/protocolo/impressao.asp?cod_protocolo=4321238&amp;area=processo</v>
      </c>
      <c r="L92" t="str" cm="1">
        <f t="array" ref="L92">ExtrairHiperlink(E92)</f>
        <v>https://intra.senado.leg.br/sigad/novo/protocolo/impressao.asp?area=processo&amp;cod_protocolo=4321644&amp;cod_frente_verso=&amp;cod_juntada=&amp;txt_funcao=</v>
      </c>
    </row>
    <row r="93" spans="1:12" ht="81" x14ac:dyDescent="0.25">
      <c r="A93" s="325"/>
      <c r="B93" s="106"/>
      <c r="C93" s="109"/>
      <c r="D93" s="146"/>
      <c r="E93" s="10" t="s">
        <v>46</v>
      </c>
      <c r="F93" s="109"/>
      <c r="G93" s="286"/>
      <c r="H93" s="93"/>
      <c r="I93" s="199"/>
      <c r="J93" s="91" t="str" cm="1">
        <f t="array" ref="J93">NomeDaCor(A93)</f>
        <v>Azul</v>
      </c>
      <c r="K93" s="450" t="str" cm="1">
        <f t="array" ref="K93">ExtrairHiperlink(D93)</f>
        <v>https://intra.senado.leg.br/sigad/novo/protocolo/impressao.asp?cod_protocolo=4321238&amp;area=processo</v>
      </c>
      <c r="L93" t="str" cm="1">
        <f t="array" ref="L93">ExtrairHiperlink(E93)</f>
        <v>https://intra.senado.leg.br/sigad/novo/protocolo/impressao.asp?area=processo&amp;cod_protocolo=4321644&amp;cod_frente_verso=&amp;cod_juntada=&amp;txt_funcao=</v>
      </c>
    </row>
    <row r="94" spans="1:12" ht="60" x14ac:dyDescent="0.25">
      <c r="A94" s="234"/>
      <c r="B94" s="105">
        <v>45692</v>
      </c>
      <c r="C94" s="107" t="s">
        <v>203</v>
      </c>
      <c r="D94" s="132" t="s">
        <v>204</v>
      </c>
      <c r="E94" s="2" t="s">
        <v>205</v>
      </c>
      <c r="F94" s="107" t="s">
        <v>206</v>
      </c>
      <c r="G94" s="147" t="s">
        <v>207</v>
      </c>
      <c r="H94" s="92"/>
      <c r="I94" s="197" t="s">
        <v>198</v>
      </c>
      <c r="J94" s="91" t="str" cm="1">
        <f t="array" ref="J94">NomeDaCor(A94)</f>
        <v>Rosa</v>
      </c>
      <c r="K94" s="450" t="str" cm="1">
        <f t="array" ref="K94">ExtrairHiperlink(D94)</f>
        <v>https://intra.senado.leg.br/sigad/novo/protocolo/impressao.asp?cod_protocolo=4226567&amp;area=processo</v>
      </c>
      <c r="L94" t="str" cm="1">
        <f t="array" ref="L94">ExtrairHiperlink(E94)</f>
        <v>https://intra.senado.leg.br/sigad/novo/protocolo/impressao.asp?cod_protocolo=4241695&amp;area=documento</v>
      </c>
    </row>
    <row r="95" spans="1:12" ht="81" x14ac:dyDescent="0.25">
      <c r="A95" s="236"/>
      <c r="B95" s="106"/>
      <c r="C95" s="108"/>
      <c r="D95" s="146"/>
      <c r="E95" s="20" t="s">
        <v>25</v>
      </c>
      <c r="F95" s="109"/>
      <c r="G95" s="111"/>
      <c r="H95" s="93"/>
      <c r="I95" s="199"/>
      <c r="J95" s="91" t="str" cm="1">
        <f t="array" ref="J95">NomeDaCor(A95)</f>
        <v>Rosa</v>
      </c>
      <c r="K95" s="450" t="str" cm="1">
        <f t="array" ref="K95">ExtrairHiperlink(D95)</f>
        <v>https://intra.senado.leg.br/sigad/novo/protocolo/impressao.asp?cod_protocolo=4226567&amp;area=processo</v>
      </c>
      <c r="L95" t="str" cm="1">
        <f t="array" ref="L95">ExtrairHiperlink(E95)</f>
        <v>https://intra.senado.leg.br/sigad/novo/protocolo/impressao.asp?cod_protocolo=4241695&amp;area=documento</v>
      </c>
    </row>
    <row r="96" spans="1:12" ht="60" x14ac:dyDescent="0.25">
      <c r="A96" s="140"/>
      <c r="B96" s="105">
        <v>45776</v>
      </c>
      <c r="C96" s="107" t="s">
        <v>208</v>
      </c>
      <c r="D96" s="132" t="s">
        <v>209</v>
      </c>
      <c r="E96" s="2" t="s">
        <v>210</v>
      </c>
      <c r="F96" s="107" t="s">
        <v>211</v>
      </c>
      <c r="G96" s="147" t="s">
        <v>212</v>
      </c>
      <c r="H96" s="92"/>
      <c r="I96" s="197" t="s">
        <v>213</v>
      </c>
      <c r="J96" s="91" t="str" cm="1">
        <f t="array" ref="J96">NomeDaCor(A96)</f>
        <v>Verde</v>
      </c>
      <c r="K96" s="450" t="str" cm="1">
        <f t="array" ref="K96">ExtrairHiperlink(D96)</f>
        <v>https://intra.senado.leg.br/sigad/novo/protocolo/impressao.asp?cod_protocolo=4329047&amp;area=processo</v>
      </c>
      <c r="L96" t="str" cm="1">
        <f t="array" ref="L96">ExtrairHiperlink(E96)</f>
        <v>https://intra.senado.leg.br/sigad/novo/protocolo/impressao.asp?area=processo&amp;cod_protocolo=4334300&amp;cod_frente_verso=&amp;cod_juntada=&amp;txt_funcao=</v>
      </c>
    </row>
    <row r="97" spans="1:12" ht="81" x14ac:dyDescent="0.25">
      <c r="A97" s="141"/>
      <c r="B97" s="106"/>
      <c r="C97" s="108"/>
      <c r="D97" s="146"/>
      <c r="E97" s="20" t="s">
        <v>25</v>
      </c>
      <c r="F97" s="109"/>
      <c r="G97" s="111"/>
      <c r="H97" s="93"/>
      <c r="I97" s="199"/>
      <c r="J97" s="91" t="str" cm="1">
        <f t="array" ref="J97">NomeDaCor(A97)</f>
        <v>Verde</v>
      </c>
      <c r="K97" s="450" t="str" cm="1">
        <f t="array" ref="K97">ExtrairHiperlink(D97)</f>
        <v>https://intra.senado.leg.br/sigad/novo/protocolo/impressao.asp?cod_protocolo=4329047&amp;area=processo</v>
      </c>
      <c r="L97" t="str" cm="1">
        <f t="array" ref="L97">ExtrairHiperlink(E97)</f>
        <v>https://intra.senado.leg.br/sigad/novo/protocolo/impressao.asp?area=processo&amp;cod_protocolo=4334300&amp;cod_frente_verso=&amp;cod_juntada=&amp;txt_funcao=</v>
      </c>
    </row>
    <row r="98" spans="1:12" ht="60" x14ac:dyDescent="0.25">
      <c r="A98" s="370"/>
      <c r="B98" s="105">
        <v>45867</v>
      </c>
      <c r="C98" s="107" t="s">
        <v>214</v>
      </c>
      <c r="D98" s="132" t="s">
        <v>215</v>
      </c>
      <c r="E98" s="2" t="s">
        <v>216</v>
      </c>
      <c r="F98" s="107" t="s">
        <v>217</v>
      </c>
      <c r="G98" s="147" t="s">
        <v>218</v>
      </c>
      <c r="H98" s="92"/>
      <c r="I98" s="197" t="s">
        <v>213</v>
      </c>
      <c r="J98" s="91" t="str" cm="1">
        <f t="array" ref="J98">NomeDaCor(A98)</f>
        <v>Roxo</v>
      </c>
      <c r="K98" s="450" t="str" cm="1">
        <f t="array" ref="K98">ExtrairHiperlink(D98)</f>
        <v>https://intra.senado.leg.br/sigad/novo/protocolo/impressao.asp?cod_protocolo=4329292&amp;area=processo</v>
      </c>
      <c r="L98" t="str" cm="1">
        <f t="array" ref="L98">ExtrairHiperlink(E98)</f>
        <v>https://intra.senado.leg.br/sigad/novo/protocolo/impressao.asp?area=processo&amp;cod_protocolo=4333088&amp;cod_frente_verso=&amp;cod_juntada=&amp;txt_funcao=</v>
      </c>
    </row>
    <row r="99" spans="1:12" ht="81" x14ac:dyDescent="0.25">
      <c r="A99" s="371"/>
      <c r="B99" s="106"/>
      <c r="C99" s="108"/>
      <c r="D99" s="146"/>
      <c r="E99" s="20" t="s">
        <v>25</v>
      </c>
      <c r="F99" s="109"/>
      <c r="G99" s="111"/>
      <c r="H99" s="93"/>
      <c r="I99" s="199"/>
      <c r="J99" s="91" t="str" cm="1">
        <f t="array" ref="J99">NomeDaCor(A99)</f>
        <v>Roxo</v>
      </c>
      <c r="K99" s="450" t="str" cm="1">
        <f t="array" ref="K99">ExtrairHiperlink(D99)</f>
        <v>https://intra.senado.leg.br/sigad/novo/protocolo/impressao.asp?cod_protocolo=4329292&amp;area=processo</v>
      </c>
      <c r="L99" t="str" cm="1">
        <f t="array" ref="L99">ExtrairHiperlink(E99)</f>
        <v>https://intra.senado.leg.br/sigad/novo/protocolo/impressao.asp?area=processo&amp;cod_protocolo=4333088&amp;cod_frente_verso=&amp;cod_juntada=&amp;txt_funcao=</v>
      </c>
    </row>
    <row r="100" spans="1:12" ht="81" x14ac:dyDescent="0.25">
      <c r="A100" s="114" t="s">
        <v>18</v>
      </c>
      <c r="B100" s="217">
        <v>45793</v>
      </c>
      <c r="C100" s="368" t="s">
        <v>219</v>
      </c>
      <c r="D100" s="187" t="s">
        <v>220</v>
      </c>
      <c r="E100" s="40" t="s">
        <v>221</v>
      </c>
      <c r="F100" s="156" t="s">
        <v>222</v>
      </c>
      <c r="G100" s="126" t="s">
        <v>223</v>
      </c>
      <c r="H100" s="128"/>
      <c r="I100" s="129" t="s">
        <v>24</v>
      </c>
      <c r="J100" s="91" t="str" cm="1">
        <f t="array" ref="J100">NomeDaCor(A100)</f>
        <v>Preto</v>
      </c>
      <c r="K100" s="450" t="str" cm="1">
        <f t="array" ref="K100">ExtrairHiperlink(D100)</f>
        <v>https://intra.senado.leg.br/sigad/novo/protocolo/impressao.asp?cod_protocolo=4329292&amp;area=processo</v>
      </c>
      <c r="L100" t="str" cm="1">
        <f t="array" ref="L100">ExtrairHiperlink(E100)</f>
        <v>https://intra.senado.leg.br/sigad/novo/protocolo/impressao.asp?area=processo&amp;cod_protocolo=4351914&amp;cod_frente_verso=&amp;cod_juntada=&amp;txt_funcao=</v>
      </c>
    </row>
    <row r="101" spans="1:12" ht="81" x14ac:dyDescent="0.25">
      <c r="A101" s="115"/>
      <c r="B101" s="218"/>
      <c r="C101" s="369"/>
      <c r="D101" s="361"/>
      <c r="E101" s="41" t="s">
        <v>25</v>
      </c>
      <c r="F101" s="119"/>
      <c r="G101" s="127"/>
      <c r="H101" s="128"/>
      <c r="I101" s="130"/>
      <c r="J101" s="91" t="str" cm="1">
        <f t="array" ref="J101">NomeDaCor(A101)</f>
        <v>Preto</v>
      </c>
      <c r="K101" s="450" t="str" cm="1">
        <f t="array" ref="K101">ExtrairHiperlink(D101)</f>
        <v>https://intra.senado.leg.br/sigad/novo/protocolo/impressao.asp?cod_protocolo=4329292&amp;area=processo</v>
      </c>
      <c r="L101" t="str" cm="1">
        <f t="array" ref="L101">ExtrairHiperlink(E101)</f>
        <v>https://intra.senado.leg.br/sigad/novo/protocolo/impressao.asp?area=processo&amp;cod_protocolo=4351914&amp;cod_frente_verso=&amp;cod_juntada=&amp;txt_funcao=</v>
      </c>
    </row>
    <row r="102" spans="1:12" ht="60" x14ac:dyDescent="0.25">
      <c r="A102" s="103"/>
      <c r="B102" s="105">
        <v>45692</v>
      </c>
      <c r="C102" s="107" t="s">
        <v>203</v>
      </c>
      <c r="D102" s="132" t="s">
        <v>204</v>
      </c>
      <c r="E102" s="42" t="s">
        <v>205</v>
      </c>
      <c r="F102" s="107" t="s">
        <v>224</v>
      </c>
      <c r="G102" s="147" t="s">
        <v>225</v>
      </c>
      <c r="H102" s="92"/>
      <c r="I102" s="197" t="s">
        <v>213</v>
      </c>
      <c r="J102" s="91" t="str" cm="1">
        <f t="array" ref="J102">NomeDaCor(A102)</f>
        <v>Laranja</v>
      </c>
      <c r="K102" s="450" t="str" cm="1">
        <f t="array" ref="K102">ExtrairHiperlink(D102)</f>
        <v>https://intra.senado.leg.br/sigad/novo/protocolo/impressao.asp?cod_protocolo=4226567&amp;area=processo</v>
      </c>
      <c r="L102" t="str" cm="1">
        <f t="array" ref="L102">ExtrairHiperlink(E102)</f>
        <v>https://intra.senado.leg.br/sigad/novo/protocolo/impressao.asp?cod_protocolo=4241695&amp;area=documento</v>
      </c>
    </row>
    <row r="103" spans="1:12" ht="81" x14ac:dyDescent="0.25">
      <c r="A103" s="162"/>
      <c r="B103" s="106"/>
      <c r="C103" s="108"/>
      <c r="D103" s="146"/>
      <c r="E103" s="10" t="s">
        <v>46</v>
      </c>
      <c r="F103" s="109"/>
      <c r="G103" s="169"/>
      <c r="H103" s="153"/>
      <c r="I103" s="198"/>
      <c r="J103" s="91" t="str" cm="1">
        <f t="array" ref="J103">NomeDaCor(A103)</f>
        <v>Laranja</v>
      </c>
      <c r="K103" s="450" t="str" cm="1">
        <f t="array" ref="K103">ExtrairHiperlink(D103)</f>
        <v>https://intra.senado.leg.br/sigad/novo/protocolo/impressao.asp?cod_protocolo=4226567&amp;area=processo</v>
      </c>
      <c r="L103" t="str" cm="1">
        <f t="array" ref="L103">ExtrairHiperlink(E103)</f>
        <v>https://intra.senado.leg.br/sigad/novo/protocolo/impressao.asp?cod_protocolo=4241695&amp;area=documento</v>
      </c>
    </row>
    <row r="104" spans="1:12" ht="60" x14ac:dyDescent="0.25">
      <c r="A104" s="162"/>
      <c r="B104" s="105">
        <v>45709</v>
      </c>
      <c r="C104" s="107" t="s">
        <v>100</v>
      </c>
      <c r="D104" s="132" t="s">
        <v>226</v>
      </c>
      <c r="E104" s="3" t="s">
        <v>227</v>
      </c>
      <c r="F104" s="107" t="s">
        <v>228</v>
      </c>
      <c r="G104" s="169"/>
      <c r="H104" s="153"/>
      <c r="I104" s="198"/>
      <c r="J104" s="91" t="str" cm="1">
        <f t="array" ref="J104">NomeDaCor(A104)</f>
        <v>Laranja</v>
      </c>
      <c r="K104" s="450" t="str" cm="1">
        <f t="array" ref="K104">ExtrairHiperlink(D104)</f>
        <v>https://intra.senado.leg.br/sigad/novo/protocolo/impressao.asp?cod_protocolo=4251642&amp;area=processo</v>
      </c>
      <c r="L104" t="str" cm="1">
        <f t="array" ref="L104">ExtrairHiperlink(E104)</f>
        <v>https://intra.senado.leg.br/sigad/novo/protocolo/impressao.asp?area=processo&amp;cod_protocolo=4252338&amp;cod_frente_verso=&amp;cod_juntada=&amp;txt_funcao=</v>
      </c>
    </row>
    <row r="105" spans="1:12" ht="81" x14ac:dyDescent="0.25">
      <c r="A105" s="162"/>
      <c r="B105" s="106"/>
      <c r="C105" s="108"/>
      <c r="D105" s="366"/>
      <c r="E105" s="43" t="s">
        <v>46</v>
      </c>
      <c r="F105" s="365"/>
      <c r="G105" s="169"/>
      <c r="H105" s="153"/>
      <c r="I105" s="198"/>
      <c r="J105" s="91" t="str" cm="1">
        <f t="array" ref="J105">NomeDaCor(A105)</f>
        <v>Laranja</v>
      </c>
      <c r="K105" s="450" t="str" cm="1">
        <f t="array" ref="K105">ExtrairHiperlink(D105)</f>
        <v>https://intra.senado.leg.br/sigad/novo/protocolo/impressao.asp?cod_protocolo=4251642&amp;area=processo</v>
      </c>
      <c r="L105" t="str" cm="1">
        <f t="array" ref="L105">ExtrairHiperlink(E105)</f>
        <v>https://intra.senado.leg.br/sigad/novo/protocolo/impressao.asp?area=processo&amp;cod_protocolo=4252338&amp;cod_frente_verso=&amp;cod_juntada=&amp;txt_funcao=</v>
      </c>
    </row>
    <row r="106" spans="1:12" ht="60" x14ac:dyDescent="0.25">
      <c r="A106" s="162"/>
      <c r="B106" s="105">
        <v>45785</v>
      </c>
      <c r="C106" s="107" t="s">
        <v>97</v>
      </c>
      <c r="D106" s="132" t="s">
        <v>229</v>
      </c>
      <c r="E106" s="42" t="s">
        <v>230</v>
      </c>
      <c r="F106" s="107" t="s">
        <v>231</v>
      </c>
      <c r="G106" s="169"/>
      <c r="H106" s="153"/>
      <c r="I106" s="198"/>
      <c r="J106" s="91" t="str" cm="1">
        <f t="array" ref="J106">NomeDaCor(A106)</f>
        <v>Laranja</v>
      </c>
      <c r="K106" s="450" t="str" cm="1">
        <f t="array" ref="K106">ExtrairHiperlink(D106)</f>
        <v>https://intra.senado.leg.br/sigad/novo/protocolo/impressao.asp?cod_protocolo=4251642&amp;area=processo</v>
      </c>
      <c r="L106" t="str" cm="1">
        <f t="array" ref="L106">ExtrairHiperlink(E106)</f>
        <v>https://intra.senado.leg.br/sigad/novo/protocolo/impressao.asp?area=processo&amp;cod_protocolo=4339847&amp;cod_frente_verso=&amp;cod_juntada=&amp;txt_funcao=</v>
      </c>
    </row>
    <row r="107" spans="1:12" ht="81" x14ac:dyDescent="0.25">
      <c r="A107" s="162"/>
      <c r="B107" s="106"/>
      <c r="C107" s="108"/>
      <c r="D107" s="146"/>
      <c r="E107" s="44" t="s">
        <v>46</v>
      </c>
      <c r="F107" s="109"/>
      <c r="G107" s="169"/>
      <c r="H107" s="153"/>
      <c r="I107" s="198"/>
      <c r="J107" s="91" t="str" cm="1">
        <f t="array" ref="J107">NomeDaCor(A107)</f>
        <v>Laranja</v>
      </c>
      <c r="K107" s="450" t="str" cm="1">
        <f t="array" ref="K107">ExtrairHiperlink(D107)</f>
        <v>https://intra.senado.leg.br/sigad/novo/protocolo/impressao.asp?cod_protocolo=4251642&amp;area=processo</v>
      </c>
      <c r="L107" t="str" cm="1">
        <f t="array" ref="L107">ExtrairHiperlink(E107)</f>
        <v>https://intra.senado.leg.br/sigad/novo/protocolo/impressao.asp?area=processo&amp;cod_protocolo=4339847&amp;cod_frente_verso=&amp;cod_juntada=&amp;txt_funcao=</v>
      </c>
    </row>
    <row r="108" spans="1:12" ht="81" x14ac:dyDescent="0.25">
      <c r="A108" s="162"/>
      <c r="B108" s="105">
        <v>45793</v>
      </c>
      <c r="C108" s="107" t="s">
        <v>232</v>
      </c>
      <c r="D108" s="132" t="s">
        <v>220</v>
      </c>
      <c r="E108" s="45" t="s">
        <v>221</v>
      </c>
      <c r="F108" s="107" t="s">
        <v>233</v>
      </c>
      <c r="G108" s="169"/>
      <c r="H108" s="153"/>
      <c r="I108" s="198"/>
      <c r="J108" s="91" t="str" cm="1">
        <f t="array" ref="J108">NomeDaCor(A108)</f>
        <v>Laranja</v>
      </c>
      <c r="K108" s="450" t="str" cm="1">
        <f t="array" ref="K108">ExtrairHiperlink(D108)</f>
        <v>https://intra.senado.leg.br/sigad/novo/protocolo/impressao.asp?cod_protocolo=4251642&amp;area=processo</v>
      </c>
      <c r="L108" t="str" cm="1">
        <f t="array" ref="L108">ExtrairHiperlink(E108)</f>
        <v>https://intra.senado.leg.br/sigad/novo/protocolo/impressao.asp?area=processo&amp;cod_protocolo=4351914&amp;cod_frente_verso=&amp;cod_juntada=&amp;txt_funcao=</v>
      </c>
    </row>
    <row r="109" spans="1:12" ht="81" x14ac:dyDescent="0.25">
      <c r="A109" s="104"/>
      <c r="B109" s="106"/>
      <c r="C109" s="108"/>
      <c r="D109" s="146"/>
      <c r="E109" s="20" t="s">
        <v>25</v>
      </c>
      <c r="F109" s="365"/>
      <c r="G109" s="171"/>
      <c r="H109" s="93"/>
      <c r="I109" s="199"/>
      <c r="J109" s="91" t="str" cm="1">
        <f t="array" ref="J109">NomeDaCor(A109)</f>
        <v>Laranja</v>
      </c>
      <c r="K109" s="450" t="str" cm="1">
        <f t="array" ref="K109">ExtrairHiperlink(D109)</f>
        <v>https://intra.senado.leg.br/sigad/novo/protocolo/impressao.asp?cod_protocolo=4251642&amp;area=processo</v>
      </c>
      <c r="L109" t="str" cm="1">
        <f t="array" ref="L109">ExtrairHiperlink(E109)</f>
        <v>https://intra.senado.leg.br/sigad/novo/protocolo/impressao.asp?area=processo&amp;cod_protocolo=4351914&amp;cod_frente_verso=&amp;cod_juntada=&amp;txt_funcao=</v>
      </c>
    </row>
    <row r="110" spans="1:12" ht="60" x14ac:dyDescent="0.25">
      <c r="A110" s="140"/>
      <c r="B110" s="105">
        <v>45712</v>
      </c>
      <c r="C110" s="107" t="s">
        <v>234</v>
      </c>
      <c r="D110" s="328" t="s">
        <v>235</v>
      </c>
      <c r="E110" s="2" t="s">
        <v>236</v>
      </c>
      <c r="F110" s="367" t="s">
        <v>237</v>
      </c>
      <c r="G110" s="147" t="s">
        <v>238</v>
      </c>
      <c r="H110" s="92"/>
      <c r="I110" s="197" t="s">
        <v>213</v>
      </c>
      <c r="J110" s="91" t="str" cm="1">
        <f t="array" ref="J110">NomeDaCor(A110)</f>
        <v>Verde</v>
      </c>
      <c r="K110" s="450" t="str" cm="1">
        <f t="array" ref="K110">ExtrairHiperlink(D110)</f>
        <v>https://intra.senado.leg.br/sigad/novo/protocolo/impressao.asp?cod_protocolo=4252391&amp;area=processo</v>
      </c>
      <c r="L110" t="str" cm="1">
        <f t="array" ref="L110">ExtrairHiperlink(E110)</f>
        <v>https://intra.senado.leg.br/sigad/novo/protocolo/impressao.asp?area=processo&amp;cod_protocolo=4252455&amp;cod_frente_verso=&amp;cod_juntada=&amp;txt_funcao=</v>
      </c>
    </row>
    <row r="111" spans="1:12" ht="81" x14ac:dyDescent="0.25">
      <c r="A111" s="141"/>
      <c r="B111" s="106"/>
      <c r="C111" s="108"/>
      <c r="D111" s="366"/>
      <c r="E111" s="10" t="s">
        <v>46</v>
      </c>
      <c r="F111" s="365"/>
      <c r="G111" s="111"/>
      <c r="H111" s="93"/>
      <c r="I111" s="199"/>
      <c r="J111" s="91" t="str" cm="1">
        <f t="array" ref="J111">NomeDaCor(A111)</f>
        <v>Verde</v>
      </c>
      <c r="K111" s="450" t="str" cm="1">
        <f t="array" ref="K111">ExtrairHiperlink(D111)</f>
        <v>https://intra.senado.leg.br/sigad/novo/protocolo/impressao.asp?cod_protocolo=4252391&amp;area=processo</v>
      </c>
      <c r="L111" t="str" cm="1">
        <f t="array" ref="L111">ExtrairHiperlink(E111)</f>
        <v>https://intra.senado.leg.br/sigad/novo/protocolo/impressao.asp?area=processo&amp;cod_protocolo=4252455&amp;cod_frente_verso=&amp;cod_juntada=&amp;txt_funcao=</v>
      </c>
    </row>
    <row r="112" spans="1:12" ht="60" x14ac:dyDescent="0.25">
      <c r="A112" s="359"/>
      <c r="B112" s="105">
        <v>45740</v>
      </c>
      <c r="C112" s="107" t="s">
        <v>239</v>
      </c>
      <c r="D112" s="132" t="s">
        <v>240</v>
      </c>
      <c r="E112" s="2" t="s">
        <v>241</v>
      </c>
      <c r="F112" s="107" t="s">
        <v>242</v>
      </c>
      <c r="G112" s="147" t="s">
        <v>243</v>
      </c>
      <c r="H112" s="92"/>
      <c r="I112" s="197" t="s">
        <v>244</v>
      </c>
      <c r="J112" s="91" t="str" cm="1">
        <f t="array" ref="J112">NomeDaCor(A112)</f>
        <v>Vermelho</v>
      </c>
      <c r="K112" s="450" t="str" cm="1">
        <f t="array" ref="K112">ExtrairHiperlink(D112)</f>
        <v>https://intra.senado.leg.br/sigad/novo/protocolo/impressao.asp?cod_protocolo=4287592&amp;area=processo</v>
      </c>
      <c r="L112" t="str" cm="1">
        <f t="array" ref="L112">ExtrairHiperlink(E112)</f>
        <v>https://intra.senado.leg.br/sigad/novo/protocolo/impressao.asp?area=documento&amp;cod_protocolo=4289718</v>
      </c>
    </row>
    <row r="113" spans="1:12" ht="81" x14ac:dyDescent="0.25">
      <c r="A113" s="364"/>
      <c r="B113" s="106"/>
      <c r="C113" s="108"/>
      <c r="D113" s="146"/>
      <c r="E113" s="10" t="s">
        <v>46</v>
      </c>
      <c r="F113" s="109"/>
      <c r="G113" s="111"/>
      <c r="H113" s="93"/>
      <c r="I113" s="199"/>
      <c r="J113" s="91" t="str" cm="1">
        <f t="array" ref="J113">NomeDaCor(A113)</f>
        <v>Vermelho</v>
      </c>
      <c r="K113" s="450" t="str" cm="1">
        <f t="array" ref="K113">ExtrairHiperlink(D113)</f>
        <v>https://intra.senado.leg.br/sigad/novo/protocolo/impressao.asp?cod_protocolo=4287592&amp;area=processo</v>
      </c>
      <c r="L113" t="str" cm="1">
        <f t="array" ref="L113">ExtrairHiperlink(E113)</f>
        <v>https://intra.senado.leg.br/sigad/novo/protocolo/impressao.asp?area=documento&amp;cod_protocolo=4289718</v>
      </c>
    </row>
    <row r="114" spans="1:12" ht="60" x14ac:dyDescent="0.25">
      <c r="A114" s="114" t="s">
        <v>18</v>
      </c>
      <c r="B114" s="116">
        <v>45791</v>
      </c>
      <c r="C114" s="118" t="s">
        <v>245</v>
      </c>
      <c r="D114" s="362" t="s">
        <v>246</v>
      </c>
      <c r="E114" s="37" t="s">
        <v>247</v>
      </c>
      <c r="F114" s="124" t="s">
        <v>248</v>
      </c>
      <c r="G114" s="126" t="s">
        <v>249</v>
      </c>
      <c r="H114" s="128"/>
      <c r="I114" s="129" t="s">
        <v>24</v>
      </c>
      <c r="J114" s="91" t="str" cm="1">
        <f t="array" ref="J114">NomeDaCor(A114)</f>
        <v>Preto</v>
      </c>
      <c r="K114" s="450" t="str" cm="1">
        <f t="array" ref="K114">ExtrairHiperlink(D114)</f>
        <v>https://intra.senado.leg.br/sigad/novo/protocolo/impressao.asp?cod_protocolo=4287592&amp;area=processo</v>
      </c>
      <c r="L114" t="str" cm="1">
        <f t="array" ref="L114">ExtrairHiperlink(E114)</f>
        <v>https://intra.senado.leg.br/sigad/novo/protocolo/impressao.asp?area=processo&amp;cod_protocolo=4348671&amp;cod_frente_verso=&amp;cod_juntada=&amp;txt_funcao=</v>
      </c>
    </row>
    <row r="115" spans="1:12" ht="81" x14ac:dyDescent="0.25">
      <c r="A115" s="175"/>
      <c r="B115" s="176"/>
      <c r="C115" s="177"/>
      <c r="D115" s="363"/>
      <c r="E115" s="43" t="s">
        <v>46</v>
      </c>
      <c r="F115" s="191"/>
      <c r="G115" s="127"/>
      <c r="H115" s="182"/>
      <c r="I115" s="130"/>
      <c r="J115" s="91" t="str" cm="1">
        <f t="array" ref="J115">NomeDaCor(A115)</f>
        <v>Preto</v>
      </c>
      <c r="K115" s="450" t="str" cm="1">
        <f t="array" ref="K115">ExtrairHiperlink(D115)</f>
        <v>https://intra.senado.leg.br/sigad/novo/protocolo/impressao.asp?cod_protocolo=4287592&amp;area=processo</v>
      </c>
      <c r="L115" t="str" cm="1">
        <f t="array" ref="L115">ExtrairHiperlink(E115)</f>
        <v>https://intra.senado.leg.br/sigad/novo/protocolo/impressao.asp?area=processo&amp;cod_protocolo=4348671&amp;cod_frente_verso=&amp;cod_juntada=&amp;txt_funcao=</v>
      </c>
    </row>
    <row r="116" spans="1:12" ht="75" x14ac:dyDescent="0.25">
      <c r="A116" s="114" t="s">
        <v>18</v>
      </c>
      <c r="B116" s="116">
        <v>45798</v>
      </c>
      <c r="C116" s="118" t="s">
        <v>250</v>
      </c>
      <c r="D116" s="360" t="s">
        <v>240</v>
      </c>
      <c r="E116" s="46" t="s">
        <v>251</v>
      </c>
      <c r="F116" s="118" t="s">
        <v>252</v>
      </c>
      <c r="G116" s="126" t="s">
        <v>253</v>
      </c>
      <c r="H116" s="128"/>
      <c r="I116" s="129" t="s">
        <v>24</v>
      </c>
      <c r="J116" s="91" t="str" cm="1">
        <f t="array" ref="J116">NomeDaCor(A116)</f>
        <v>Preto</v>
      </c>
      <c r="K116" s="450" t="str" cm="1">
        <f t="array" ref="K116">ExtrairHiperlink(D116)</f>
        <v>https://intra.senado.leg.br/sigad/novo/protocolo/impressao.asp?cod_protocolo=4287592&amp;area=processo</v>
      </c>
      <c r="L116" t="str" cm="1">
        <f t="array" ref="L116">ExtrairHiperlink(E116)</f>
        <v>https://intra.senado.leg.br/sigad/novo/protocolo/impressao.asp?area=processo&amp;cod_protocolo=4348671&amp;cod_frente_verso=&amp;cod_juntada=&amp;txt_funcao=</v>
      </c>
    </row>
    <row r="117" spans="1:12" ht="81" x14ac:dyDescent="0.25">
      <c r="A117" s="115"/>
      <c r="B117" s="117"/>
      <c r="C117" s="119"/>
      <c r="D117" s="361"/>
      <c r="E117" s="47" t="s">
        <v>25</v>
      </c>
      <c r="F117" s="119"/>
      <c r="G117" s="127"/>
      <c r="H117" s="128"/>
      <c r="I117" s="130"/>
      <c r="J117" s="91" t="str" cm="1">
        <f t="array" ref="J117">NomeDaCor(A117)</f>
        <v>Preto</v>
      </c>
      <c r="K117" s="450" t="str" cm="1">
        <f t="array" ref="K117">ExtrairHiperlink(D117)</f>
        <v>https://intra.senado.leg.br/sigad/novo/protocolo/impressao.asp?cod_protocolo=4287592&amp;area=processo</v>
      </c>
      <c r="L117" t="str" cm="1">
        <f t="array" ref="L117">ExtrairHiperlink(E117)</f>
        <v>https://intra.senado.leg.br/sigad/novo/protocolo/impressao.asp?area=processo&amp;cod_protocolo=4348671&amp;cod_frente_verso=&amp;cod_juntada=&amp;txt_funcao=</v>
      </c>
    </row>
    <row r="118" spans="1:12" ht="60" x14ac:dyDescent="0.25">
      <c r="A118" s="140"/>
      <c r="B118" s="105">
        <v>45770</v>
      </c>
      <c r="C118" s="107" t="s">
        <v>82</v>
      </c>
      <c r="D118" s="132" t="s">
        <v>254</v>
      </c>
      <c r="E118" s="2" t="s">
        <v>255</v>
      </c>
      <c r="F118" s="107" t="s">
        <v>256</v>
      </c>
      <c r="G118" s="147" t="s">
        <v>257</v>
      </c>
      <c r="H118" s="92"/>
      <c r="I118" s="197" t="s">
        <v>244</v>
      </c>
      <c r="J118" s="91" t="str" cm="1">
        <f t="array" ref="J118">NomeDaCor(A118)</f>
        <v>Verde</v>
      </c>
      <c r="K118" s="450" t="str" cm="1">
        <f t="array" ref="K118">ExtrairHiperlink(D118)</f>
        <v>https://intra.senado.leg.br/sigad/novo/protocolo/impressao.asp?cod_protocolo=4287592&amp;area=processo</v>
      </c>
      <c r="L118" t="str" cm="1">
        <f t="array" ref="L118">ExtrairHiperlink(E118)</f>
        <v>https://intra.senado.leg.br/sigad/novo/protocolo/impressao.asp?area=processo&amp;cod_protocolo=4321952&amp;cod_frente_verso=&amp;cod_juntada=&amp;txt_funcao=</v>
      </c>
    </row>
    <row r="119" spans="1:12" ht="81" x14ac:dyDescent="0.25">
      <c r="A119" s="141"/>
      <c r="B119" s="106"/>
      <c r="C119" s="108"/>
      <c r="D119" s="146"/>
      <c r="E119" s="10" t="s">
        <v>46</v>
      </c>
      <c r="F119" s="109"/>
      <c r="G119" s="111"/>
      <c r="H119" s="93"/>
      <c r="I119" s="199"/>
      <c r="J119" s="91" t="str" cm="1">
        <f t="array" ref="J119">NomeDaCor(A119)</f>
        <v>Verde</v>
      </c>
      <c r="K119" s="450" t="str" cm="1">
        <f t="array" ref="K119">ExtrairHiperlink(D119)</f>
        <v>https://intra.senado.leg.br/sigad/novo/protocolo/impressao.asp?cod_protocolo=4287592&amp;area=processo</v>
      </c>
      <c r="L119" t="str" cm="1">
        <f t="array" ref="L119">ExtrairHiperlink(E119)</f>
        <v>https://intra.senado.leg.br/sigad/novo/protocolo/impressao.asp?area=processo&amp;cod_protocolo=4321952&amp;cod_frente_verso=&amp;cod_juntada=&amp;txt_funcao=</v>
      </c>
    </row>
    <row r="120" spans="1:12" ht="60" x14ac:dyDescent="0.25">
      <c r="A120" s="234"/>
      <c r="B120" s="105">
        <v>45790</v>
      </c>
      <c r="C120" s="107" t="s">
        <v>258</v>
      </c>
      <c r="D120" s="132" t="s">
        <v>259</v>
      </c>
      <c r="E120" s="48" t="s">
        <v>260</v>
      </c>
      <c r="F120" s="107" t="s">
        <v>261</v>
      </c>
      <c r="G120" s="147" t="s">
        <v>262</v>
      </c>
      <c r="H120" s="92"/>
      <c r="I120" s="197" t="s">
        <v>263</v>
      </c>
      <c r="J120" s="91" t="str" cm="1">
        <f t="array" ref="J120">NomeDaCor(A120)</f>
        <v>Rosa</v>
      </c>
      <c r="K120" s="450" t="str" cm="1">
        <f t="array" ref="K120">ExtrairHiperlink(D120)</f>
        <v>https://intra.senado.leg.br/sigad/novo/protocolo/impressao.asp?cod_protocolo=4347011&amp;area=processo</v>
      </c>
      <c r="L120" t="str" cm="1">
        <f t="array" ref="L120">ExtrairHiperlink(E120)</f>
        <v>https://intra.senado.leg.br/sigad/novo/protocolo/impressao.asp?area=processo&amp;cod_protocolo=4350304&amp;cod_frente_verso=&amp;cod_juntada=&amp;txt_funcao=</v>
      </c>
    </row>
    <row r="121" spans="1:12" ht="81" x14ac:dyDescent="0.25">
      <c r="A121" s="236"/>
      <c r="B121" s="106"/>
      <c r="C121" s="108"/>
      <c r="D121" s="146"/>
      <c r="E121" s="10" t="s">
        <v>46</v>
      </c>
      <c r="F121" s="109"/>
      <c r="G121" s="111"/>
      <c r="H121" s="93"/>
      <c r="I121" s="199"/>
      <c r="J121" s="91" t="str" cm="1">
        <f t="array" ref="J121">NomeDaCor(A121)</f>
        <v>Rosa</v>
      </c>
      <c r="K121" s="450" t="str" cm="1">
        <f t="array" ref="K121">ExtrairHiperlink(D121)</f>
        <v>https://intra.senado.leg.br/sigad/novo/protocolo/impressao.asp?cod_protocolo=4347011&amp;area=processo</v>
      </c>
      <c r="L121" t="str" cm="1">
        <f t="array" ref="L121">ExtrairHiperlink(E121)</f>
        <v>https://intra.senado.leg.br/sigad/novo/protocolo/impressao.asp?area=processo&amp;cod_protocolo=4350304&amp;cod_frente_verso=&amp;cod_juntada=&amp;txt_funcao=</v>
      </c>
    </row>
    <row r="122" spans="1:12" ht="60" x14ac:dyDescent="0.25">
      <c r="A122" s="223" t="s">
        <v>18</v>
      </c>
      <c r="B122" s="224">
        <v>45796</v>
      </c>
      <c r="C122" s="161" t="s">
        <v>264</v>
      </c>
      <c r="D122" s="225" t="s">
        <v>265</v>
      </c>
      <c r="E122" s="49" t="s">
        <v>266</v>
      </c>
      <c r="F122" s="156" t="s">
        <v>267</v>
      </c>
      <c r="G122" s="126" t="s">
        <v>268</v>
      </c>
      <c r="H122" s="128"/>
      <c r="I122" s="129" t="s">
        <v>24</v>
      </c>
      <c r="J122" s="91" t="str" cm="1">
        <f t="array" ref="J122">NomeDaCor(A122)</f>
        <v>Preto</v>
      </c>
      <c r="K122" s="450" t="str" cm="1">
        <f t="array" ref="K122">ExtrairHiperlink(D122)</f>
        <v>https://intra.senado.leg.br/sigad/novo/protocolo/impressao.asp?cod_protocolo=4352531&amp;area=processo</v>
      </c>
      <c r="L122" t="str" cm="1">
        <f t="array" ref="L122">ExtrairHiperlink(E122)</f>
        <v>https://intra.senado.leg.br/sigad/novo/protocolo/impressao.asp?area=processo&amp;cod_protocolo=4362901&amp;cod_frente_verso=&amp;cod_juntada=&amp;txt_funcao=</v>
      </c>
    </row>
    <row r="123" spans="1:12" ht="81" x14ac:dyDescent="0.25">
      <c r="A123" s="115"/>
      <c r="B123" s="117"/>
      <c r="C123" s="119"/>
      <c r="D123" s="338"/>
      <c r="E123" s="24" t="s">
        <v>25</v>
      </c>
      <c r="F123" s="119"/>
      <c r="G123" s="127"/>
      <c r="H123" s="128"/>
      <c r="I123" s="130"/>
      <c r="J123" s="91" t="str" cm="1">
        <f t="array" ref="J123">NomeDaCor(A123)</f>
        <v>Preto</v>
      </c>
      <c r="K123" s="450" t="str" cm="1">
        <f t="array" ref="K123">ExtrairHiperlink(D123)</f>
        <v>https://intra.senado.leg.br/sigad/novo/protocolo/impressao.asp?cod_protocolo=4352531&amp;area=processo</v>
      </c>
      <c r="L123" t="str" cm="1">
        <f t="array" ref="L123">ExtrairHiperlink(E123)</f>
        <v>https://intra.senado.leg.br/sigad/novo/protocolo/impressao.asp?area=processo&amp;cod_protocolo=4362901&amp;cod_frente_verso=&amp;cod_juntada=&amp;txt_funcao=</v>
      </c>
    </row>
    <row r="124" spans="1:12" ht="60" x14ac:dyDescent="0.25">
      <c r="A124" s="192"/>
      <c r="B124" s="105">
        <v>45700</v>
      </c>
      <c r="C124" s="343" t="s">
        <v>269</v>
      </c>
      <c r="D124" s="132" t="s">
        <v>270</v>
      </c>
      <c r="E124" s="3" t="s">
        <v>271</v>
      </c>
      <c r="F124" s="343" t="s">
        <v>272</v>
      </c>
      <c r="G124" s="147" t="s">
        <v>273</v>
      </c>
      <c r="H124" s="92"/>
      <c r="I124" s="197" t="s">
        <v>263</v>
      </c>
      <c r="J124" s="91" t="str" cm="1">
        <f t="array" ref="J124">NomeDaCor(A124)</f>
        <v>Vermelho</v>
      </c>
      <c r="K124" s="450" t="str" cm="1">
        <f t="array" ref="K124">ExtrairHiperlink(D124)</f>
        <v>https://intra.senado.leg.br/sigad/novo/protocolo/impressao.asp?cod_protocolo=4238654&amp;area=processo</v>
      </c>
      <c r="L124" t="str" cm="1">
        <f t="array" ref="L124">ExtrairHiperlink(E124)</f>
        <v>https://intra.senado.leg.br/sigad/novo/protocolo/impressao.asp?cod_protocolo=4245916&amp;area=documento</v>
      </c>
    </row>
    <row r="125" spans="1:12" ht="81" x14ac:dyDescent="0.25">
      <c r="A125" s="192"/>
      <c r="B125" s="106"/>
      <c r="C125" s="108"/>
      <c r="D125" s="146"/>
      <c r="E125" s="44" t="s">
        <v>46</v>
      </c>
      <c r="F125" s="109"/>
      <c r="G125" s="111"/>
      <c r="H125" s="153"/>
      <c r="I125" s="198"/>
      <c r="J125" s="91" t="str" cm="1">
        <f t="array" ref="J125">NomeDaCor(A125)</f>
        <v>Vermelho</v>
      </c>
      <c r="K125" s="450" t="str" cm="1">
        <f t="array" ref="K125">ExtrairHiperlink(D125)</f>
        <v>https://intra.senado.leg.br/sigad/novo/protocolo/impressao.asp?cod_protocolo=4238654&amp;area=processo</v>
      </c>
      <c r="L125" t="str" cm="1">
        <f t="array" ref="L125">ExtrairHiperlink(E125)</f>
        <v>https://intra.senado.leg.br/sigad/novo/protocolo/impressao.asp?cod_protocolo=4245916&amp;area=documento</v>
      </c>
    </row>
    <row r="126" spans="1:12" ht="75" x14ac:dyDescent="0.25">
      <c r="A126" s="192"/>
      <c r="B126" s="105">
        <v>45793</v>
      </c>
      <c r="C126" s="343" t="s">
        <v>274</v>
      </c>
      <c r="D126" s="355" t="s">
        <v>275</v>
      </c>
      <c r="E126" s="50" t="s">
        <v>276</v>
      </c>
      <c r="F126" s="357" t="s">
        <v>277</v>
      </c>
      <c r="G126" s="147" t="s">
        <v>273</v>
      </c>
      <c r="H126" s="153"/>
      <c r="I126" s="198"/>
      <c r="J126" s="91" t="str" cm="1">
        <f t="array" ref="J126">NomeDaCor(A126)</f>
        <v>Vermelho</v>
      </c>
      <c r="K126" s="450" t="str" cm="1">
        <f t="array" ref="K126">ExtrairHiperlink(D126)</f>
        <v>https://intra.senado.leg.br/sigad/novo/protocolo/impressao.asp?cod_protocolo=4351267&amp;area=processo</v>
      </c>
      <c r="L126" t="str" cm="1">
        <f t="array" ref="L126">ExtrairHiperlink(E126)</f>
        <v>https://intra.senado.leg.br/sigad/protocolo/impressao_arquivo.asp?cod_protocolo=4351929&amp;area=documento</v>
      </c>
    </row>
    <row r="127" spans="1:12" ht="81" x14ac:dyDescent="0.25">
      <c r="A127" s="359"/>
      <c r="B127" s="131"/>
      <c r="C127" s="134"/>
      <c r="D127" s="356"/>
      <c r="E127" s="51" t="s">
        <v>46</v>
      </c>
      <c r="F127" s="358"/>
      <c r="G127" s="143"/>
      <c r="H127" s="93"/>
      <c r="I127" s="198"/>
      <c r="J127" s="91" t="str" cm="1">
        <f t="array" ref="J127">NomeDaCor(A127)</f>
        <v>Vermelho</v>
      </c>
      <c r="K127" s="450" t="str" cm="1">
        <f t="array" ref="K127">ExtrairHiperlink(D127)</f>
        <v>https://intra.senado.leg.br/sigad/novo/protocolo/impressao.asp?cod_protocolo=4351267&amp;area=processo</v>
      </c>
      <c r="L127" t="str" cm="1">
        <f t="array" ref="L127">ExtrairHiperlink(E127)</f>
        <v>https://intra.senado.leg.br/sigad/protocolo/impressao_arquivo.asp?cod_protocolo=4351929&amp;area=documento</v>
      </c>
    </row>
    <row r="128" spans="1:12" ht="60" x14ac:dyDescent="0.25">
      <c r="A128" s="354"/>
      <c r="B128" s="97">
        <v>45804</v>
      </c>
      <c r="C128" s="344" t="s">
        <v>278</v>
      </c>
      <c r="D128" s="353" t="s">
        <v>279</v>
      </c>
      <c r="E128" s="2" t="s">
        <v>280</v>
      </c>
      <c r="F128" s="98" t="s">
        <v>281</v>
      </c>
      <c r="G128" s="274" t="s">
        <v>282</v>
      </c>
      <c r="H128" s="349"/>
      <c r="I128" s="275" t="s">
        <v>283</v>
      </c>
      <c r="J128" s="91" t="str" cm="1">
        <f t="array" ref="J128">NomeDaCor(A128)</f>
        <v>Laranja</v>
      </c>
      <c r="K128" s="450" t="str" cm="1">
        <f t="array" ref="K128">ExtrairHiperlink(D128)</f>
        <v>https://intra.senado.leg.br/sigad/novo/protocolo/impressao.asp?cod_protocolo=4364142&amp;area=processo</v>
      </c>
      <c r="L128" t="str" cm="1">
        <f t="array" ref="L128">ExtrairHiperlink(E128)</f>
        <v>https://intra.senado.leg.br/sigad/novo/protocolo/impressao.asp?area=processo&amp;cod_protocolo=4369348&amp;cod_frente_verso=&amp;cod_juntada=&amp;txt_funcao=</v>
      </c>
    </row>
    <row r="129" spans="1:12" ht="81" x14ac:dyDescent="0.25">
      <c r="A129" s="354"/>
      <c r="B129" s="97"/>
      <c r="C129" s="98"/>
      <c r="D129" s="353"/>
      <c r="E129" s="52" t="s">
        <v>46</v>
      </c>
      <c r="F129" s="98"/>
      <c r="G129" s="274"/>
      <c r="H129" s="349"/>
      <c r="I129" s="275"/>
      <c r="J129" s="91" t="str" cm="1">
        <f t="array" ref="J129">NomeDaCor(A129)</f>
        <v>Laranja</v>
      </c>
      <c r="K129" s="450" t="str" cm="1">
        <f t="array" ref="K129">ExtrairHiperlink(D129)</f>
        <v>https://intra.senado.leg.br/sigad/novo/protocolo/impressao.asp?cod_protocolo=4364142&amp;area=processo</v>
      </c>
      <c r="L129" t="str" cm="1">
        <f t="array" ref="L129">ExtrairHiperlink(E129)</f>
        <v>https://intra.senado.leg.br/sigad/novo/protocolo/impressao.asp?area=processo&amp;cod_protocolo=4369348&amp;cod_frente_verso=&amp;cod_juntada=&amp;txt_funcao=</v>
      </c>
    </row>
    <row r="130" spans="1:12" ht="60" x14ac:dyDescent="0.25">
      <c r="A130" s="223" t="s">
        <v>18</v>
      </c>
      <c r="B130" s="224">
        <v>45797</v>
      </c>
      <c r="C130" s="161" t="s">
        <v>284</v>
      </c>
      <c r="D130" s="350" t="s">
        <v>285</v>
      </c>
      <c r="E130" s="53" t="s">
        <v>286</v>
      </c>
      <c r="F130" s="161" t="s">
        <v>287</v>
      </c>
      <c r="G130" s="126" t="s">
        <v>288</v>
      </c>
      <c r="H130" s="150"/>
      <c r="I130" s="54" t="s">
        <v>289</v>
      </c>
      <c r="J130" s="91" t="str" cm="1">
        <f t="array" ref="J130">NomeDaCor(A130)</f>
        <v>Preto</v>
      </c>
      <c r="K130" s="450" t="str" cm="1">
        <f t="array" ref="K130">ExtrairHiperlink(D130)</f>
        <v>https://intra.senado.leg.br/sigad/visualizador/PdfJs/web/viewer.html?cod_protocolo=4355825&amp;cod_pagina=&amp;cod_usuario=82996&amp;cod_orgao=9694&amp;token=HRWVLG0D1MC3W85</v>
      </c>
      <c r="L130" t="str" cm="1">
        <f t="array" ref="L130">ExtrairHiperlink(E130)</f>
        <v>https://intra.senado.leg.br/sigad/novo/protocolo/impressao.asp?cod_protocolo=4356242&amp;area=documento</v>
      </c>
    </row>
    <row r="131" spans="1:12" ht="81" x14ac:dyDescent="0.25">
      <c r="A131" s="223"/>
      <c r="B131" s="224"/>
      <c r="C131" s="161"/>
      <c r="D131" s="350"/>
      <c r="E131" s="55" t="s">
        <v>25</v>
      </c>
      <c r="F131" s="161"/>
      <c r="G131" s="126"/>
      <c r="H131" s="182"/>
      <c r="I131" s="30" t="s">
        <v>290</v>
      </c>
      <c r="J131" s="91" t="str" cm="1">
        <f t="array" ref="J131">NomeDaCor(A131)</f>
        <v>Preto</v>
      </c>
      <c r="K131" s="450" t="str" cm="1">
        <f t="array" ref="K131">ExtrairHiperlink(D131)</f>
        <v>https://intra.senado.leg.br/sigad/visualizador/PdfJs/web/viewer.html?cod_protocolo=4355825&amp;cod_pagina=&amp;cod_usuario=82996&amp;cod_orgao=9694&amp;token=HRWVLG0D1MC3W85</v>
      </c>
      <c r="L131" t="str" cm="1">
        <f t="array" ref="L131">ExtrairHiperlink(E131)</f>
        <v>https://intra.senado.leg.br/sigad/novo/protocolo/impressao.asp?cod_protocolo=4356242&amp;area=documento</v>
      </c>
    </row>
    <row r="132" spans="1:12" ht="60" x14ac:dyDescent="0.25">
      <c r="A132" s="352"/>
      <c r="B132" s="97">
        <v>45806</v>
      </c>
      <c r="C132" s="344" t="s">
        <v>291</v>
      </c>
      <c r="D132" s="353" t="s">
        <v>292</v>
      </c>
      <c r="E132" s="2" t="s">
        <v>293</v>
      </c>
      <c r="F132" s="98" t="s">
        <v>294</v>
      </c>
      <c r="G132" s="274" t="s">
        <v>295</v>
      </c>
      <c r="H132" s="349"/>
      <c r="I132" s="275" t="s">
        <v>283</v>
      </c>
      <c r="J132" s="91" t="str" cm="1">
        <f t="array" ref="J132">NomeDaCor(A132)</f>
        <v>Verde</v>
      </c>
      <c r="K132" s="450" t="str" cm="1">
        <f t="array" ref="K132">ExtrairHiperlink(D132)</f>
        <v>https://intra.senado.leg.br/sigad/novo/protocolo/impressao.asp?cod_protocolo=4367778&amp;area=processo</v>
      </c>
      <c r="L132" t="str" cm="1">
        <f t="array" ref="L132">ExtrairHiperlink(E132)</f>
        <v>https://intra.senado.leg.br/sigad/novo/protocolo/impressao.asp?area=processo&amp;cod_protocolo=4368768&amp;cod_frente_verso=&amp;cod_juntada=&amp;txt_funcao=</v>
      </c>
    </row>
    <row r="133" spans="1:12" ht="81" x14ac:dyDescent="0.25">
      <c r="A133" s="352"/>
      <c r="B133" s="97"/>
      <c r="C133" s="98"/>
      <c r="D133" s="353"/>
      <c r="E133" s="56" t="s">
        <v>46</v>
      </c>
      <c r="F133" s="98"/>
      <c r="G133" s="274"/>
      <c r="H133" s="349"/>
      <c r="I133" s="275"/>
      <c r="J133" s="91" t="str" cm="1">
        <f t="array" ref="J133">NomeDaCor(A133)</f>
        <v>Verde</v>
      </c>
      <c r="K133" s="450" t="str" cm="1">
        <f t="array" ref="K133">ExtrairHiperlink(D133)</f>
        <v>https://intra.senado.leg.br/sigad/novo/protocolo/impressao.asp?cod_protocolo=4367778&amp;area=processo</v>
      </c>
      <c r="L133" t="str" cm="1">
        <f t="array" ref="L133">ExtrairHiperlink(E133)</f>
        <v>https://intra.senado.leg.br/sigad/novo/protocolo/impressao.asp?area=processo&amp;cod_protocolo=4368768&amp;cod_frente_verso=&amp;cod_juntada=&amp;txt_funcao=</v>
      </c>
    </row>
    <row r="134" spans="1:12" ht="60" x14ac:dyDescent="0.25">
      <c r="A134" s="223" t="s">
        <v>18</v>
      </c>
      <c r="B134" s="224">
        <v>45797</v>
      </c>
      <c r="C134" s="161" t="s">
        <v>296</v>
      </c>
      <c r="D134" s="350" t="s">
        <v>285</v>
      </c>
      <c r="E134" s="57" t="s">
        <v>286</v>
      </c>
      <c r="F134" s="161" t="s">
        <v>297</v>
      </c>
      <c r="G134" s="126" t="s">
        <v>298</v>
      </c>
      <c r="H134" s="128"/>
      <c r="I134" s="54" t="s">
        <v>299</v>
      </c>
      <c r="J134" s="91" t="str" cm="1">
        <f t="array" ref="J134">NomeDaCor(A134)</f>
        <v>Preto</v>
      </c>
      <c r="K134" s="450" t="str" cm="1">
        <f t="array" ref="K134">ExtrairHiperlink(D134)</f>
        <v>https://intra.senado.leg.br/sigad/visualizador/PdfJs/web/viewer.html?cod_protocolo=4355825&amp;cod_pagina=&amp;cod_usuario=82996&amp;cod_orgao=9694&amp;token=HRWVLG0D1MC3W85</v>
      </c>
      <c r="L134" t="str" cm="1">
        <f t="array" ref="L134">ExtrairHiperlink(E134)</f>
        <v>https://intra.senado.leg.br/sigad/novo/protocolo/impressao.asp?cod_protocolo=4356242&amp;area=documento</v>
      </c>
    </row>
    <row r="135" spans="1:12" ht="81" x14ac:dyDescent="0.25">
      <c r="A135" s="115"/>
      <c r="B135" s="176"/>
      <c r="C135" s="119"/>
      <c r="D135" s="351"/>
      <c r="E135" s="24" t="s">
        <v>25</v>
      </c>
      <c r="F135" s="119"/>
      <c r="G135" s="127"/>
      <c r="H135" s="128"/>
      <c r="I135" s="30" t="s">
        <v>290</v>
      </c>
      <c r="J135" s="91" t="str" cm="1">
        <f t="array" ref="J135">NomeDaCor(A135)</f>
        <v>Preto</v>
      </c>
      <c r="K135" s="450" t="str" cm="1">
        <f t="array" ref="K135">ExtrairHiperlink(D135)</f>
        <v>https://intra.senado.leg.br/sigad/visualizador/PdfJs/web/viewer.html?cod_protocolo=4355825&amp;cod_pagina=&amp;cod_usuario=82996&amp;cod_orgao=9694&amp;token=HRWVLG0D1MC3W85</v>
      </c>
      <c r="L135" t="str" cm="1">
        <f t="array" ref="L135">ExtrairHiperlink(E135)</f>
        <v>https://intra.senado.leg.br/sigad/novo/protocolo/impressao.asp?cod_protocolo=4356242&amp;area=documento</v>
      </c>
    </row>
    <row r="136" spans="1:12" ht="60" x14ac:dyDescent="0.25">
      <c r="A136" s="279"/>
      <c r="B136" s="131">
        <v>45728</v>
      </c>
      <c r="C136" s="145" t="s">
        <v>114</v>
      </c>
      <c r="D136" s="132" t="s">
        <v>115</v>
      </c>
      <c r="E136" s="3" t="s">
        <v>116</v>
      </c>
      <c r="F136" s="107" t="s">
        <v>300</v>
      </c>
      <c r="G136" s="135" t="s">
        <v>301</v>
      </c>
      <c r="H136" s="92"/>
      <c r="I136" s="197" t="s">
        <v>263</v>
      </c>
      <c r="J136" s="91" t="str" cm="1">
        <f t="array" ref="J136">NomeDaCor(A136)</f>
        <v>Roxo</v>
      </c>
      <c r="K136" s="450" t="str" cm="1">
        <f t="array" ref="K136">ExtrairHiperlink(D136)</f>
        <v>https://intra.senado.leg.br/sigad/novo/protocolo/impressao.asp?cod_protocolo=4269985&amp;area=processo</v>
      </c>
      <c r="L136" t="str" cm="1">
        <f t="array" ref="L136">ExtrairHiperlink(E136)</f>
        <v>https://intra.senado.leg.br/sigad/novo/protocolo/impressao.asp?area=processo&amp;cod_protocolo=4269913&amp;cod_frente_verso=&amp;cod_juntada=&amp;txt_funcao=</v>
      </c>
    </row>
    <row r="137" spans="1:12" ht="81" x14ac:dyDescent="0.25">
      <c r="A137" s="281"/>
      <c r="B137" s="106"/>
      <c r="C137" s="109"/>
      <c r="D137" s="146"/>
      <c r="E137" s="7" t="s">
        <v>25</v>
      </c>
      <c r="F137" s="109"/>
      <c r="G137" s="171"/>
      <c r="H137" s="93"/>
      <c r="I137" s="199"/>
      <c r="J137" s="91" t="str" cm="1">
        <f t="array" ref="J137">NomeDaCor(A137)</f>
        <v>Roxo</v>
      </c>
      <c r="K137" s="450" t="str" cm="1">
        <f t="array" ref="K137">ExtrairHiperlink(D137)</f>
        <v>https://intra.senado.leg.br/sigad/novo/protocolo/impressao.asp?cod_protocolo=4269985&amp;area=processo</v>
      </c>
      <c r="L137" t="str" cm="1">
        <f t="array" ref="L137">ExtrairHiperlink(E137)</f>
        <v>https://intra.senado.leg.br/sigad/novo/protocolo/impressao.asp?area=processo&amp;cod_protocolo=4269913&amp;cod_frente_verso=&amp;cod_juntada=&amp;txt_funcao=</v>
      </c>
    </row>
    <row r="138" spans="1:12" ht="60" x14ac:dyDescent="0.25">
      <c r="A138" s="345"/>
      <c r="B138" s="105">
        <v>45790</v>
      </c>
      <c r="C138" s="107" t="s">
        <v>302</v>
      </c>
      <c r="D138" s="132" t="s">
        <v>303</v>
      </c>
      <c r="E138" s="48" t="s">
        <v>304</v>
      </c>
      <c r="F138" s="107" t="s">
        <v>305</v>
      </c>
      <c r="G138" s="147" t="s">
        <v>306</v>
      </c>
      <c r="H138" s="92"/>
      <c r="I138" s="185" t="s">
        <v>307</v>
      </c>
      <c r="J138" s="91" t="str" cm="1">
        <f t="array" ref="J138">NomeDaCor(A138)</f>
        <v>Vermelho</v>
      </c>
      <c r="K138" s="450" t="str" cm="1">
        <f t="array" ref="K138">ExtrairHiperlink(D138)</f>
        <v>https://intra.senado.leg.br/sigad/novo/protocolo/impressao.asp?cod_protocolo=4346018&amp;area=processo</v>
      </c>
      <c r="L138" t="str" cm="1">
        <f t="array" ref="L138">ExtrairHiperlink(E138)</f>
        <v>https://intra.senado.leg.br/sigad/novo/protocolo/impressao.asp?area=processo&amp;cod_protocolo=4350235&amp;cod_frente_verso=&amp;cod_juntada=&amp;txt_funcao=</v>
      </c>
    </row>
    <row r="139" spans="1:12" ht="81" x14ac:dyDescent="0.25">
      <c r="A139" s="346"/>
      <c r="B139" s="106"/>
      <c r="C139" s="109"/>
      <c r="D139" s="146"/>
      <c r="E139" s="10" t="s">
        <v>46</v>
      </c>
      <c r="F139" s="109"/>
      <c r="G139" s="171"/>
      <c r="H139" s="93"/>
      <c r="I139" s="186"/>
      <c r="J139" s="91" t="str" cm="1">
        <f t="array" ref="J139">NomeDaCor(A139)</f>
        <v>Vermelho</v>
      </c>
      <c r="K139" s="450" t="str" cm="1">
        <f t="array" ref="K139">ExtrairHiperlink(D139)</f>
        <v>https://intra.senado.leg.br/sigad/novo/protocolo/impressao.asp?cod_protocolo=4346018&amp;area=processo</v>
      </c>
      <c r="L139" t="str" cm="1">
        <f t="array" ref="L139">ExtrairHiperlink(E139)</f>
        <v>https://intra.senado.leg.br/sigad/novo/protocolo/impressao.asp?area=processo&amp;cod_protocolo=4350235&amp;cod_frente_verso=&amp;cod_juntada=&amp;txt_funcao=</v>
      </c>
    </row>
    <row r="140" spans="1:12" ht="60" x14ac:dyDescent="0.25">
      <c r="A140" s="348"/>
      <c r="B140" s="105">
        <v>45694</v>
      </c>
      <c r="C140" s="107" t="s">
        <v>308</v>
      </c>
      <c r="D140" s="132" t="s">
        <v>309</v>
      </c>
      <c r="E140" s="2" t="s">
        <v>310</v>
      </c>
      <c r="F140" s="107" t="s">
        <v>311</v>
      </c>
      <c r="G140" s="147" t="s">
        <v>312</v>
      </c>
      <c r="H140" s="92"/>
      <c r="I140" s="185" t="s">
        <v>307</v>
      </c>
      <c r="J140" s="91" t="str" cm="1">
        <f t="array" ref="J140">NomeDaCor(A140)</f>
        <v>Rosa</v>
      </c>
      <c r="K140" s="450" t="str" cm="1">
        <f t="array" ref="K140">ExtrairHiperlink(D140)</f>
        <v>https://intra.senado.leg.br/sigad/novo/protocolo/impressao.asp?cod_protocolo=4229847&amp;area=processo</v>
      </c>
      <c r="L140" t="str" cm="1">
        <f t="array" ref="L140">ExtrairHiperlink(E140)</f>
        <v>https://intra.senado.leg.br/sigad/novo/protocolo/impressao.asp?cod_protocolo=4241701&amp;area=documento</v>
      </c>
    </row>
    <row r="141" spans="1:12" ht="81" x14ac:dyDescent="0.25">
      <c r="A141" s="348"/>
      <c r="B141" s="106"/>
      <c r="C141" s="108"/>
      <c r="D141" s="146"/>
      <c r="E141" s="7" t="s">
        <v>25</v>
      </c>
      <c r="F141" s="109"/>
      <c r="G141" s="111"/>
      <c r="H141" s="93"/>
      <c r="I141" s="186"/>
      <c r="J141" s="91" t="str" cm="1">
        <f t="array" ref="J141">NomeDaCor(A141)</f>
        <v>Rosa</v>
      </c>
      <c r="K141" s="450" t="str" cm="1">
        <f t="array" ref="K141">ExtrairHiperlink(D141)</f>
        <v>https://intra.senado.leg.br/sigad/novo/protocolo/impressao.asp?cod_protocolo=4229847&amp;area=processo</v>
      </c>
      <c r="L141" t="str" cm="1">
        <f t="array" ref="L141">ExtrairHiperlink(E141)</f>
        <v>https://intra.senado.leg.br/sigad/novo/protocolo/impressao.asp?cod_protocolo=4241701&amp;area=documento</v>
      </c>
    </row>
    <row r="142" spans="1:12" x14ac:dyDescent="0.25">
      <c r="A142" s="114" t="s">
        <v>18</v>
      </c>
      <c r="B142" s="116">
        <v>45777</v>
      </c>
      <c r="C142" s="118" t="s">
        <v>313</v>
      </c>
      <c r="D142" s="178" t="s">
        <v>314</v>
      </c>
      <c r="E142" s="347" t="s">
        <v>315</v>
      </c>
      <c r="F142" s="124" t="s">
        <v>316</v>
      </c>
      <c r="G142" s="126" t="s">
        <v>317</v>
      </c>
      <c r="H142" s="128"/>
      <c r="I142" s="129" t="s">
        <v>318</v>
      </c>
      <c r="J142" s="91" t="str" cm="1">
        <f t="array" ref="J142">NomeDaCor(A142)</f>
        <v>Preto</v>
      </c>
      <c r="K142" s="450" t="str" cm="1">
        <f t="array" ref="K142">ExtrairHiperlink(D142)</f>
        <v>https://intra.senado.leg.br/sigad/novo/protocolo/impressao.asp?cod_protocolo=4330099&amp;area=processo</v>
      </c>
      <c r="L142" t="str" cm="1">
        <f t="array" ref="L142">ExtrairHiperlink(E142)</f>
        <v>https://intra.senado.leg.br/sigad/novo/protocolo/impressao.asp?cod_protocolo=4241701&amp;area=documento</v>
      </c>
    </row>
    <row r="143" spans="1:12" x14ac:dyDescent="0.25">
      <c r="A143" s="115"/>
      <c r="B143" s="117"/>
      <c r="C143" s="119"/>
      <c r="D143" s="158"/>
      <c r="E143" s="340"/>
      <c r="F143" s="125"/>
      <c r="G143" s="127"/>
      <c r="H143" s="128"/>
      <c r="I143" s="130"/>
      <c r="J143" s="91" t="str" cm="1">
        <f t="array" ref="J143">NomeDaCor(A143)</f>
        <v>Preto</v>
      </c>
      <c r="K143" s="450" t="str" cm="1">
        <f t="array" ref="K143">ExtrairHiperlink(D143)</f>
        <v>https://intra.senado.leg.br/sigad/novo/protocolo/impressao.asp?cod_protocolo=4330099&amp;area=processo</v>
      </c>
      <c r="L143" t="str" cm="1">
        <f t="array" ref="L143">ExtrairHiperlink(E143)</f>
        <v>https://intra.senado.leg.br/sigad/novo/protocolo/impressao.asp?cod_protocolo=4241701&amp;area=documento</v>
      </c>
    </row>
    <row r="144" spans="1:12" ht="60" x14ac:dyDescent="0.25">
      <c r="A144" s="345"/>
      <c r="B144" s="105">
        <v>45728</v>
      </c>
      <c r="C144" s="145" t="s">
        <v>114</v>
      </c>
      <c r="D144" s="132" t="s">
        <v>115</v>
      </c>
      <c r="E144" s="2" t="s">
        <v>116</v>
      </c>
      <c r="F144" s="107" t="s">
        <v>319</v>
      </c>
      <c r="G144" s="135" t="s">
        <v>320</v>
      </c>
      <c r="H144" s="92"/>
      <c r="I144" s="197" t="s">
        <v>321</v>
      </c>
      <c r="J144" s="91" t="str" cm="1">
        <f t="array" ref="J144">NomeDaCor(A144)</f>
        <v>Vermelho</v>
      </c>
      <c r="K144" s="450" t="str" cm="1">
        <f t="array" ref="K144">ExtrairHiperlink(D144)</f>
        <v>https://intra.senado.leg.br/sigad/novo/protocolo/impressao.asp?cod_protocolo=4269985&amp;area=processo</v>
      </c>
      <c r="L144" t="str" cm="1">
        <f t="array" ref="L144">ExtrairHiperlink(E144)</f>
        <v>https://intra.senado.leg.br/sigad/novo/protocolo/impressao.asp?area=processo&amp;cod_protocolo=4269913&amp;cod_frente_verso=&amp;cod_juntada=&amp;txt_funcao=</v>
      </c>
    </row>
    <row r="145" spans="1:12" ht="81" x14ac:dyDescent="0.25">
      <c r="A145" s="346"/>
      <c r="B145" s="106"/>
      <c r="C145" s="109"/>
      <c r="D145" s="146"/>
      <c r="E145" s="7" t="s">
        <v>25</v>
      </c>
      <c r="F145" s="109"/>
      <c r="G145" s="171"/>
      <c r="H145" s="93"/>
      <c r="I145" s="199"/>
      <c r="J145" s="91" t="str" cm="1">
        <f t="array" ref="J145">NomeDaCor(A145)</f>
        <v>Vermelho</v>
      </c>
      <c r="K145" s="450" t="str" cm="1">
        <f t="array" ref="K145">ExtrairHiperlink(D145)</f>
        <v>https://intra.senado.leg.br/sigad/novo/protocolo/impressao.asp?cod_protocolo=4269985&amp;area=processo</v>
      </c>
      <c r="L145" t="str" cm="1">
        <f t="array" ref="L145">ExtrairHiperlink(E145)</f>
        <v>https://intra.senado.leg.br/sigad/novo/protocolo/impressao.asp?area=processo&amp;cod_protocolo=4269913&amp;cod_frente_verso=&amp;cod_juntada=&amp;txt_funcao=</v>
      </c>
    </row>
    <row r="146" spans="1:12" ht="60" x14ac:dyDescent="0.25">
      <c r="A146" s="58" t="s">
        <v>47</v>
      </c>
      <c r="B146" s="105">
        <v>45693</v>
      </c>
      <c r="C146" s="107" t="s">
        <v>63</v>
      </c>
      <c r="D146" s="132" t="s">
        <v>38</v>
      </c>
      <c r="E146" s="2" t="s">
        <v>39</v>
      </c>
      <c r="F146" s="107" t="s">
        <v>322</v>
      </c>
      <c r="G146" s="147" t="s">
        <v>323</v>
      </c>
      <c r="H146" s="92"/>
      <c r="I146" s="197" t="s">
        <v>324</v>
      </c>
      <c r="J146" s="91" t="str" cm="1">
        <f t="array" ref="J146">NomeDaCor(A146)</f>
        <v>Verde</v>
      </c>
      <c r="K146" s="450" t="str" cm="1">
        <f t="array" ref="K146">ExtrairHiperlink(D146)</f>
        <v>https://intra.senado.leg.br/sigad/novo/protocolo/impressao.asp?cod_protocolo=4227195</v>
      </c>
      <c r="L146" t="str" cm="1">
        <f t="array" ref="L146">ExtrairHiperlink(E146)</f>
        <v>https://intra.senado.leg.br/sigad/novo/protocolo/impressao.asp?area=processo&amp;cod_protocolo=4236444&amp;cod_frente_verso=&amp;cod_juntada=&amp;txt_funcao=</v>
      </c>
    </row>
    <row r="147" spans="1:12" ht="81" x14ac:dyDescent="0.25">
      <c r="A147" s="18" t="s">
        <v>54</v>
      </c>
      <c r="B147" s="106"/>
      <c r="C147" s="109"/>
      <c r="D147" s="146"/>
      <c r="E147" s="7" t="s">
        <v>25</v>
      </c>
      <c r="F147" s="108"/>
      <c r="G147" s="111"/>
      <c r="H147" s="93"/>
      <c r="I147" s="199"/>
      <c r="J147" s="91" t="str" cm="1">
        <f t="array" ref="J147">NomeDaCor(A147)</f>
        <v>Vermelho</v>
      </c>
      <c r="K147" s="450" t="str" cm="1">
        <f t="array" ref="K147">ExtrairHiperlink(D147)</f>
        <v>https://intra.senado.leg.br/sigad/novo/protocolo/impressao.asp?cod_protocolo=4227195</v>
      </c>
      <c r="L147" t="str" cm="1">
        <f t="array" ref="L147">ExtrairHiperlink(E147)</f>
        <v>https://intra.senado.leg.br/sigad/novo/protocolo/impressao.asp?area=processo&amp;cod_protocolo=4236444&amp;cod_frente_verso=&amp;cod_juntada=&amp;txt_funcao=</v>
      </c>
    </row>
    <row r="148" spans="1:12" ht="60" x14ac:dyDescent="0.25">
      <c r="A148" s="323"/>
      <c r="B148" s="105">
        <v>45693</v>
      </c>
      <c r="C148" s="107" t="s">
        <v>63</v>
      </c>
      <c r="D148" s="132" t="s">
        <v>38</v>
      </c>
      <c r="E148" s="2" t="s">
        <v>39</v>
      </c>
      <c r="F148" s="107" t="s">
        <v>325</v>
      </c>
      <c r="G148" s="147" t="s">
        <v>326</v>
      </c>
      <c r="H148" s="92"/>
      <c r="I148" s="197" t="s">
        <v>324</v>
      </c>
      <c r="J148" s="91" t="str" cm="1">
        <f t="array" ref="J148">NomeDaCor(A148)</f>
        <v>Azul</v>
      </c>
      <c r="K148" s="450" t="str" cm="1">
        <f t="array" ref="K148">ExtrairHiperlink(D148)</f>
        <v>https://intra.senado.leg.br/sigad/novo/protocolo/impressao.asp?cod_protocolo=4227195</v>
      </c>
      <c r="L148" t="str" cm="1">
        <f t="array" ref="L148">ExtrairHiperlink(E148)</f>
        <v>https://intra.senado.leg.br/sigad/novo/protocolo/impressao.asp?area=processo&amp;cod_protocolo=4236444&amp;cod_frente_verso=&amp;cod_juntada=&amp;txt_funcao=</v>
      </c>
    </row>
    <row r="149" spans="1:12" ht="81" x14ac:dyDescent="0.25">
      <c r="A149" s="324"/>
      <c r="B149" s="106"/>
      <c r="C149" s="109"/>
      <c r="D149" s="146"/>
      <c r="E149" s="7" t="s">
        <v>25</v>
      </c>
      <c r="F149" s="108"/>
      <c r="G149" s="169"/>
      <c r="H149" s="153"/>
      <c r="I149" s="198"/>
      <c r="J149" s="91" t="str" cm="1">
        <f t="array" ref="J149">NomeDaCor(A149)</f>
        <v>Azul</v>
      </c>
      <c r="K149" s="450" t="str" cm="1">
        <f t="array" ref="K149">ExtrairHiperlink(D149)</f>
        <v>https://intra.senado.leg.br/sigad/novo/protocolo/impressao.asp?cod_protocolo=4227195</v>
      </c>
      <c r="L149" t="str" cm="1">
        <f t="array" ref="L149">ExtrairHiperlink(E149)</f>
        <v>https://intra.senado.leg.br/sigad/novo/protocolo/impressao.asp?area=processo&amp;cod_protocolo=4236444&amp;cod_frente_verso=&amp;cod_juntada=&amp;txt_funcao=</v>
      </c>
    </row>
    <row r="150" spans="1:12" ht="60" x14ac:dyDescent="0.25">
      <c r="A150" s="324"/>
      <c r="B150" s="105">
        <v>45803</v>
      </c>
      <c r="C150" s="107" t="s">
        <v>97</v>
      </c>
      <c r="D150" s="132" t="s">
        <v>327</v>
      </c>
      <c r="E150" s="2" t="s">
        <v>328</v>
      </c>
      <c r="F150" s="107" t="s">
        <v>329</v>
      </c>
      <c r="G150" s="169"/>
      <c r="H150" s="153"/>
      <c r="I150" s="198"/>
      <c r="J150" s="91" t="str" cm="1">
        <f t="array" ref="J150">NomeDaCor(A150)</f>
        <v>Azul</v>
      </c>
      <c r="K150" s="450" t="str" cm="1">
        <f t="array" ref="K150">ExtrairHiperlink(D150)</f>
        <v>https://intra.senado.leg.br/sigad/visualizador/PdfJs/web/viewer.html?cod_protocolo=4360332&amp;cod_pagina=&amp;cod_usuario=82996&amp;cod_orgao=9694&amp;token=OKHCHVF3XRDPT3Q</v>
      </c>
      <c r="L150" t="str" cm="1">
        <f t="array" ref="L150">ExtrairHiperlink(E150)</f>
        <v>https://intra.senado.leg.br/sigad/visualizador/PdfJs/web/viewer.html?cod_protocolo=4361230&amp;cod_pagina=&amp;cod_usuario=82996&amp;cod_orgao=9694&amp;token=OKHCHVF3XRDPT3Q</v>
      </c>
    </row>
    <row r="151" spans="1:12" ht="81" x14ac:dyDescent="0.25">
      <c r="A151" s="325"/>
      <c r="B151" s="106"/>
      <c r="C151" s="109"/>
      <c r="D151" s="146"/>
      <c r="E151" s="7" t="s">
        <v>25</v>
      </c>
      <c r="F151" s="108"/>
      <c r="G151" s="171"/>
      <c r="H151" s="93"/>
      <c r="I151" s="199"/>
      <c r="J151" s="91" t="str" cm="1">
        <f t="array" ref="J151">NomeDaCor(A151)</f>
        <v>Azul</v>
      </c>
      <c r="K151" s="450" t="str" cm="1">
        <f t="array" ref="K151">ExtrairHiperlink(D151)</f>
        <v>https://intra.senado.leg.br/sigad/visualizador/PdfJs/web/viewer.html?cod_protocolo=4360332&amp;cod_pagina=&amp;cod_usuario=82996&amp;cod_orgao=9694&amp;token=OKHCHVF3XRDPT3Q</v>
      </c>
      <c r="L151" t="str" cm="1">
        <f t="array" ref="L151">ExtrairHiperlink(E151)</f>
        <v>https://intra.senado.leg.br/sigad/visualizador/PdfJs/web/viewer.html?cod_protocolo=4361230&amp;cod_pagina=&amp;cod_usuario=82996&amp;cod_orgao=9694&amp;token=OKHCHVF3XRDPT3Q</v>
      </c>
    </row>
    <row r="152" spans="1:12" ht="60" x14ac:dyDescent="0.25">
      <c r="A152" s="321"/>
      <c r="B152" s="105">
        <v>45819</v>
      </c>
      <c r="C152" s="344" t="s">
        <v>278</v>
      </c>
      <c r="D152" s="132" t="s">
        <v>330</v>
      </c>
      <c r="E152" s="59" t="s">
        <v>331</v>
      </c>
      <c r="F152" s="98" t="s">
        <v>281</v>
      </c>
      <c r="G152" s="274" t="s">
        <v>332</v>
      </c>
      <c r="H152" s="92"/>
      <c r="I152" s="197" t="s">
        <v>333</v>
      </c>
      <c r="J152" s="91" t="str" cm="1">
        <f t="array" ref="J152">NomeDaCor(A152)</f>
        <v>Laranja</v>
      </c>
      <c r="K152" s="450" t="str" cm="1">
        <f t="array" ref="K152">ExtrairHiperlink(D152)</f>
        <v>https://intra.senado.leg.br/sigad/novo/protocolo/impressao.asp?cod_protocolo=4382452&amp;area=processo</v>
      </c>
      <c r="L152" t="str" cm="1">
        <f t="array" ref="L152">ExtrairHiperlink(E152)</f>
        <v>https://intra.senado.leg.br/sigad/novo/protocolo/impressao.asp?area=processo&amp;cod_protocolo=4386762&amp;cod_frente_verso=&amp;cod_juntada=&amp;txt_funcao=</v>
      </c>
    </row>
    <row r="153" spans="1:12" ht="81" x14ac:dyDescent="0.25">
      <c r="A153" s="322"/>
      <c r="B153" s="106"/>
      <c r="C153" s="98"/>
      <c r="D153" s="146"/>
      <c r="E153" s="10" t="s">
        <v>46</v>
      </c>
      <c r="F153" s="98"/>
      <c r="G153" s="274"/>
      <c r="H153" s="93"/>
      <c r="I153" s="198"/>
      <c r="J153" s="91" t="str" cm="1">
        <f t="array" ref="J153">NomeDaCor(A153)</f>
        <v>Laranja</v>
      </c>
      <c r="K153" s="450" t="str" cm="1">
        <f t="array" ref="K153">ExtrairHiperlink(D153)</f>
        <v>https://intra.senado.leg.br/sigad/novo/protocolo/impressao.asp?cod_protocolo=4382452&amp;area=processo</v>
      </c>
      <c r="L153" t="str" cm="1">
        <f t="array" ref="L153">ExtrairHiperlink(E153)</f>
        <v>https://intra.senado.leg.br/sigad/novo/protocolo/impressao.asp?area=processo&amp;cod_protocolo=4386762&amp;cod_frente_verso=&amp;cod_juntada=&amp;txt_funcao=</v>
      </c>
    </row>
    <row r="154" spans="1:12" ht="60" x14ac:dyDescent="0.25">
      <c r="A154" s="282"/>
      <c r="B154" s="105">
        <v>45692</v>
      </c>
      <c r="C154" s="107" t="s">
        <v>55</v>
      </c>
      <c r="D154" s="132" t="s">
        <v>137</v>
      </c>
      <c r="E154" s="2" t="s">
        <v>138</v>
      </c>
      <c r="F154" s="107" t="s">
        <v>334</v>
      </c>
      <c r="G154" s="110">
        <v>45831</v>
      </c>
      <c r="H154" s="92"/>
      <c r="I154" s="197" t="s">
        <v>335</v>
      </c>
      <c r="J154" s="91" t="str" cm="1">
        <f t="array" ref="J154">NomeDaCor(A154)</f>
        <v>Verde</v>
      </c>
      <c r="K154" s="450" t="str" cm="1">
        <f t="array" ref="K154">ExtrairHiperlink(D154)</f>
        <v>https://intra.senado.leg.br/sigad/novo/protocolo/impressao.asp?cod_protocolo=4228774&amp;area=processo</v>
      </c>
      <c r="L154" t="str" cm="1">
        <f t="array" ref="L154">ExtrairHiperlink(E154)</f>
        <v>https://intra.senado.leg.br/sigad/novo/protocolo/impressao.asp?cod_protocolo=4241698&amp;area=documento</v>
      </c>
    </row>
    <row r="155" spans="1:12" ht="81" x14ac:dyDescent="0.25">
      <c r="A155" s="283"/>
      <c r="B155" s="131"/>
      <c r="C155" s="142"/>
      <c r="D155" s="133"/>
      <c r="E155" s="44" t="s">
        <v>46</v>
      </c>
      <c r="F155" s="142"/>
      <c r="G155" s="143"/>
      <c r="H155" s="245"/>
      <c r="I155" s="198"/>
      <c r="J155" s="91" t="str" cm="1">
        <f t="array" ref="J155">NomeDaCor(A155)</f>
        <v>Verde</v>
      </c>
      <c r="K155" s="450" t="str" cm="1">
        <f t="array" ref="K155">ExtrairHiperlink(D155)</f>
        <v>https://intra.senado.leg.br/sigad/novo/protocolo/impressao.asp?cod_protocolo=4228774&amp;area=processo</v>
      </c>
      <c r="L155" t="str" cm="1">
        <f t="array" ref="L155">ExtrairHiperlink(E155)</f>
        <v>https://intra.senado.leg.br/sigad/novo/protocolo/impressao.asp?cod_protocolo=4241698&amp;area=documento</v>
      </c>
    </row>
    <row r="156" spans="1:12" ht="60" x14ac:dyDescent="0.25">
      <c r="A156" s="114" t="s">
        <v>18</v>
      </c>
      <c r="B156" s="116">
        <v>45806</v>
      </c>
      <c r="C156" s="118" t="s">
        <v>336</v>
      </c>
      <c r="D156" s="225" t="s">
        <v>337</v>
      </c>
      <c r="E156" s="30" t="s">
        <v>338</v>
      </c>
      <c r="F156" s="118" t="s">
        <v>339</v>
      </c>
      <c r="G156" s="181" t="s">
        <v>340</v>
      </c>
      <c r="H156" s="120"/>
      <c r="I156" s="183" t="s">
        <v>24</v>
      </c>
      <c r="J156" s="91" t="str" cm="1">
        <f t="array" ref="J156">NomeDaCor(A156)</f>
        <v>Preto</v>
      </c>
      <c r="K156" s="450" t="str" cm="1">
        <f t="array" ref="K156">ExtrairHiperlink(D156)</f>
        <v>https://intra.senado.leg.br/sigad/novo/protocolo/impressao.asp?cod_protocolo=4367243&amp;area=processo</v>
      </c>
      <c r="L156" t="str" cm="1">
        <f t="array" ref="L156">ExtrairHiperlink(E156)</f>
        <v>https://intra.senado.leg.br/sigad/novo/protocolo/impressao.asp?area=processo&amp;cod_protocolo=4372269&amp;cod_frente_verso=&amp;cod_juntada=&amp;txt_funcao=</v>
      </c>
    </row>
    <row r="157" spans="1:12" ht="81" x14ac:dyDescent="0.25">
      <c r="A157" s="175"/>
      <c r="B157" s="176"/>
      <c r="C157" s="177"/>
      <c r="D157" s="179"/>
      <c r="E157" s="61" t="s">
        <v>25</v>
      </c>
      <c r="F157" s="177"/>
      <c r="G157" s="127"/>
      <c r="H157" s="182"/>
      <c r="I157" s="130"/>
      <c r="J157" s="91" t="str" cm="1">
        <f t="array" ref="J157">NomeDaCor(A157)</f>
        <v>Preto</v>
      </c>
      <c r="K157" s="450" t="str" cm="1">
        <f t="array" ref="K157">ExtrairHiperlink(D157)</f>
        <v>https://intra.senado.leg.br/sigad/novo/protocolo/impressao.asp?cod_protocolo=4367243&amp;area=processo</v>
      </c>
      <c r="L157" t="str" cm="1">
        <f t="array" ref="L157">ExtrairHiperlink(E157)</f>
        <v>https://intra.senado.leg.br/sigad/novo/protocolo/impressao.asp?area=processo&amp;cod_protocolo=4372269&amp;cod_frente_verso=&amp;cod_juntada=&amp;txt_funcao=</v>
      </c>
    </row>
    <row r="158" spans="1:12" ht="60" x14ac:dyDescent="0.25">
      <c r="A158" s="114" t="s">
        <v>18</v>
      </c>
      <c r="B158" s="116">
        <v>45798</v>
      </c>
      <c r="C158" s="118" t="s">
        <v>341</v>
      </c>
      <c r="D158" s="178" t="s">
        <v>285</v>
      </c>
      <c r="E158" s="37" t="s">
        <v>286</v>
      </c>
      <c r="F158" s="260" t="s">
        <v>342</v>
      </c>
      <c r="G158" s="181" t="s">
        <v>343</v>
      </c>
      <c r="H158" s="120"/>
      <c r="I158" s="183" t="s">
        <v>24</v>
      </c>
      <c r="J158" s="91" t="str" cm="1">
        <f t="array" ref="J158">NomeDaCor(A158)</f>
        <v>Preto</v>
      </c>
      <c r="K158" s="450" t="str" cm="1">
        <f t="array" ref="K158">ExtrairHiperlink(D158)</f>
        <v>https://intra.senado.leg.br/sigad/visualizador/PdfJs/web/viewer.html?cod_protocolo=4355825&amp;cod_pagina=&amp;cod_usuario=82996&amp;cod_orgao=9694&amp;token=HRWVLG0D1MC3W85</v>
      </c>
      <c r="L158" t="str" cm="1">
        <f t="array" ref="L158">ExtrairHiperlink(E158)</f>
        <v>https://intra.senado.leg.br/sigad/novo/protocolo/impressao.asp?cod_protocolo=4356242&amp;area=documento</v>
      </c>
    </row>
    <row r="159" spans="1:12" ht="81" x14ac:dyDescent="0.25">
      <c r="A159" s="175"/>
      <c r="B159" s="176"/>
      <c r="C159" s="177"/>
      <c r="D159" s="179"/>
      <c r="E159" s="7" t="s">
        <v>25</v>
      </c>
      <c r="F159" s="191"/>
      <c r="G159" s="127"/>
      <c r="H159" s="182"/>
      <c r="I159" s="152"/>
      <c r="J159" s="91" t="str" cm="1">
        <f t="array" ref="J159">NomeDaCor(A159)</f>
        <v>Preto</v>
      </c>
      <c r="K159" s="450" t="str" cm="1">
        <f t="array" ref="K159">ExtrairHiperlink(D159)</f>
        <v>https://intra.senado.leg.br/sigad/visualizador/PdfJs/web/viewer.html?cod_protocolo=4355825&amp;cod_pagina=&amp;cod_usuario=82996&amp;cod_orgao=9694&amp;token=HRWVLG0D1MC3W85</v>
      </c>
      <c r="L159" t="str" cm="1">
        <f t="array" ref="L159">ExtrairHiperlink(E159)</f>
        <v>https://intra.senado.leg.br/sigad/novo/protocolo/impressao.asp?cod_protocolo=4356242&amp;area=documento</v>
      </c>
    </row>
    <row r="160" spans="1:12" ht="60" x14ac:dyDescent="0.25">
      <c r="A160" s="62"/>
      <c r="B160" s="105">
        <v>45802</v>
      </c>
      <c r="C160" s="107" t="s">
        <v>97</v>
      </c>
      <c r="D160" s="132" t="s">
        <v>344</v>
      </c>
      <c r="E160" s="63" t="s">
        <v>345</v>
      </c>
      <c r="F160" s="343" t="s">
        <v>346</v>
      </c>
      <c r="G160" s="147" t="s">
        <v>347</v>
      </c>
      <c r="H160" s="92"/>
      <c r="I160" s="197" t="s">
        <v>348</v>
      </c>
      <c r="J160" s="91" t="str" cm="1">
        <f t="array" ref="J160">NomeDaCor(A160)</f>
        <v>Azul</v>
      </c>
      <c r="K160" s="450" t="str" cm="1">
        <f t="array" ref="K160">ExtrairHiperlink(D160)</f>
        <v>https://intra.senado.leg.br/sigad/visualizador/PdfJs/web/viewer.html?cod_protocolo=4355825&amp;cod_pagina=&amp;cod_usuario=82996&amp;cod_orgao=9694&amp;token=HRWVLG0D1MC3W85</v>
      </c>
      <c r="L160" t="str" cm="1">
        <f t="array" ref="L160">ExtrairHiperlink(E160)</f>
        <v>https://intra.senado.leg.br/sigad/protocolo/arquivar.asp?cod_protocolo=4398259&amp;area=processo&amp;txt_funcao=sobrestar</v>
      </c>
    </row>
    <row r="161" spans="1:12" ht="81" x14ac:dyDescent="0.25">
      <c r="A161" s="62"/>
      <c r="B161" s="106"/>
      <c r="C161" s="109"/>
      <c r="D161" s="146"/>
      <c r="E161" s="7" t="s">
        <v>25</v>
      </c>
      <c r="F161" s="108"/>
      <c r="G161" s="171"/>
      <c r="H161" s="93"/>
      <c r="I161" s="199"/>
      <c r="J161" s="91" t="str" cm="1">
        <f t="array" ref="J161">NomeDaCor(A161)</f>
        <v>Azul</v>
      </c>
      <c r="K161" s="450" t="str" cm="1">
        <f t="array" ref="K161">ExtrairHiperlink(D161)</f>
        <v>https://intra.senado.leg.br/sigad/visualizador/PdfJs/web/viewer.html?cod_protocolo=4355825&amp;cod_pagina=&amp;cod_usuario=82996&amp;cod_orgao=9694&amp;token=HRWVLG0D1MC3W85</v>
      </c>
      <c r="L161" t="str" cm="1">
        <f t="array" ref="L161">ExtrairHiperlink(E161)</f>
        <v>https://intra.senado.leg.br/sigad/protocolo/arquivar.asp?cod_protocolo=4398259&amp;area=processo&amp;txt_funcao=sobrestar</v>
      </c>
    </row>
    <row r="162" spans="1:12" x14ac:dyDescent="0.25">
      <c r="A162" s="114" t="s">
        <v>18</v>
      </c>
      <c r="B162" s="336">
        <v>45832</v>
      </c>
      <c r="C162" s="219" t="s">
        <v>349</v>
      </c>
      <c r="D162" s="259" t="s">
        <v>350</v>
      </c>
      <c r="E162" s="339" t="s">
        <v>315</v>
      </c>
      <c r="F162" s="341" t="s">
        <v>351</v>
      </c>
      <c r="G162" s="221" t="s">
        <v>352</v>
      </c>
      <c r="H162" s="206"/>
      <c r="I162" s="183"/>
      <c r="J162" s="91" t="str" cm="1">
        <f t="array" ref="J162">NomeDaCor(A162)</f>
        <v>Preto</v>
      </c>
      <c r="K162" s="450" t="str" cm="1">
        <f t="array" ref="K162">ExtrairHiperlink(D162)</f>
        <v>https://intra.senado.leg.br/sigad/novo/protocolo/impressao.asp?cod_protocolo=4396301&amp;area=processo</v>
      </c>
      <c r="L162" t="str" cm="1">
        <f t="array" ref="L162">ExtrairHiperlink(E162)</f>
        <v>https://intra.senado.leg.br/sigad/protocolo/arquivar.asp?cod_protocolo=4398259&amp;area=processo&amp;txt_funcao=sobrestar</v>
      </c>
    </row>
    <row r="163" spans="1:12" x14ac:dyDescent="0.25">
      <c r="A163" s="175"/>
      <c r="B163" s="337"/>
      <c r="C163" s="220"/>
      <c r="D163" s="338"/>
      <c r="E163" s="340"/>
      <c r="F163" s="342"/>
      <c r="G163" s="222"/>
      <c r="H163" s="207"/>
      <c r="I163" s="152"/>
      <c r="J163" s="91" t="str" cm="1">
        <f t="array" ref="J163">NomeDaCor(A163)</f>
        <v>Preto</v>
      </c>
      <c r="K163" s="450" t="str" cm="1">
        <f t="array" ref="K163">ExtrairHiperlink(D163)</f>
        <v>https://intra.senado.leg.br/sigad/novo/protocolo/impressao.asp?cod_protocolo=4396301&amp;area=processo</v>
      </c>
      <c r="L163" t="str" cm="1">
        <f t="array" ref="L163">ExtrairHiperlink(E163)</f>
        <v>https://intra.senado.leg.br/sigad/protocolo/arquivar.asp?cod_protocolo=4398259&amp;area=processo&amp;txt_funcao=sobrestar</v>
      </c>
    </row>
    <row r="164" spans="1:12" ht="60" x14ac:dyDescent="0.25">
      <c r="A164" s="64" t="s">
        <v>47</v>
      </c>
      <c r="B164" s="332">
        <v>45838</v>
      </c>
      <c r="C164" s="210" t="s">
        <v>353</v>
      </c>
      <c r="D164" s="209" t="s">
        <v>354</v>
      </c>
      <c r="E164" s="2" t="s">
        <v>355</v>
      </c>
      <c r="F164" s="210" t="s">
        <v>356</v>
      </c>
      <c r="G164" s="212" t="s">
        <v>357</v>
      </c>
      <c r="H164" s="214"/>
      <c r="I164" s="334" t="s">
        <v>358</v>
      </c>
      <c r="J164" s="91" t="str" cm="1">
        <f t="array" ref="J164">NomeDaCor(A164)</f>
        <v>Vermelho</v>
      </c>
      <c r="K164" s="450" t="str" cm="1">
        <f t="array" ref="K164">ExtrairHiperlink(D164)</f>
        <v>https://intra.senado.leg.br/sigad/novo/protocolo/impressao.asp?cod_protocolo=4402059&amp;area=processo</v>
      </c>
      <c r="L164" t="str" cm="1">
        <f t="array" ref="L164">ExtrairHiperlink(E164)</f>
        <v>https://intra.senado.leg.br/sigad/novo/protocolo/impressao.asp?area=processo&amp;cod_protocolo=4403997&amp;cod_frente_verso=&amp;cod_juntada=&amp;txt_funcao=</v>
      </c>
    </row>
    <row r="165" spans="1:12" ht="81" x14ac:dyDescent="0.25">
      <c r="A165" s="29" t="s">
        <v>54</v>
      </c>
      <c r="B165" s="333"/>
      <c r="C165" s="211"/>
      <c r="D165" s="203"/>
      <c r="E165" s="7" t="s">
        <v>25</v>
      </c>
      <c r="F165" s="211"/>
      <c r="G165" s="213"/>
      <c r="H165" s="215"/>
      <c r="I165" s="335"/>
      <c r="J165" s="91" t="str" cm="1">
        <f t="array" ref="J165">NomeDaCor(A165)</f>
        <v>Verde</v>
      </c>
      <c r="K165" s="450" t="str" cm="1">
        <f t="array" ref="K165">ExtrairHiperlink(D165)</f>
        <v>https://intra.senado.leg.br/sigad/novo/protocolo/impressao.asp?cod_protocolo=4402059&amp;area=processo</v>
      </c>
      <c r="L165" t="str" cm="1">
        <f t="array" ref="L165">ExtrairHiperlink(E165)</f>
        <v>https://intra.senado.leg.br/sigad/novo/protocolo/impressao.asp?area=processo&amp;cod_protocolo=4403997&amp;cod_frente_verso=&amp;cod_juntada=&amp;txt_funcao=</v>
      </c>
    </row>
    <row r="166" spans="1:12" ht="60" x14ac:dyDescent="0.25">
      <c r="A166" s="60"/>
      <c r="B166" s="332">
        <v>45839</v>
      </c>
      <c r="C166" s="210" t="s">
        <v>359</v>
      </c>
      <c r="D166" s="209" t="s">
        <v>360</v>
      </c>
      <c r="E166" s="63" t="s">
        <v>361</v>
      </c>
      <c r="F166" s="107" t="s">
        <v>362</v>
      </c>
      <c r="G166" s="212" t="s">
        <v>363</v>
      </c>
      <c r="H166" s="214"/>
      <c r="I166" s="185" t="s">
        <v>364</v>
      </c>
      <c r="J166" s="91" t="str" cm="1">
        <f t="array" ref="J166">NomeDaCor(A166)</f>
        <v>Verde</v>
      </c>
      <c r="K166" s="450" t="str" cm="1">
        <f t="array" ref="K166">ExtrairHiperlink(D166)</f>
        <v>https://intra.senado.leg.br/sigad/novo/protocolo/impressao.asp?cod_protocolo=4404596&amp;area=processo</v>
      </c>
      <c r="L166" t="str" cm="1">
        <f t="array" ref="L166">ExtrairHiperlink(E166)</f>
        <v>https://intra.senado.leg.br/sigad/novo/protocolo/impressao.asp?area=processo&amp;cod_protocolo=4406871&amp;cod_frente_verso=&amp;cod_juntada=&amp;txt_funcao=</v>
      </c>
    </row>
    <row r="167" spans="1:12" ht="81" x14ac:dyDescent="0.25">
      <c r="A167" s="60"/>
      <c r="B167" s="333"/>
      <c r="C167" s="211"/>
      <c r="D167" s="203"/>
      <c r="E167" s="7" t="s">
        <v>25</v>
      </c>
      <c r="F167" s="109"/>
      <c r="G167" s="213"/>
      <c r="H167" s="215"/>
      <c r="I167" s="186"/>
      <c r="J167" s="91" t="str" cm="1">
        <f t="array" ref="J167">NomeDaCor(A167)</f>
        <v>Verde</v>
      </c>
      <c r="K167" s="450" t="str" cm="1">
        <f t="array" ref="K167">ExtrairHiperlink(D167)</f>
        <v>https://intra.senado.leg.br/sigad/novo/protocolo/impressao.asp?cod_protocolo=4404596&amp;area=processo</v>
      </c>
      <c r="L167" t="str" cm="1">
        <f t="array" ref="L167">ExtrairHiperlink(E167)</f>
        <v>https://intra.senado.leg.br/sigad/novo/protocolo/impressao.asp?area=processo&amp;cod_protocolo=4406871&amp;cod_frente_verso=&amp;cod_juntada=&amp;txt_funcao=</v>
      </c>
    </row>
    <row r="168" spans="1:12" ht="60" x14ac:dyDescent="0.25">
      <c r="A168" s="114" t="s">
        <v>18</v>
      </c>
      <c r="B168" s="116">
        <v>45840</v>
      </c>
      <c r="C168" s="329" t="s">
        <v>365</v>
      </c>
      <c r="D168" s="268" t="s">
        <v>366</v>
      </c>
      <c r="E168" s="23" t="s">
        <v>367</v>
      </c>
      <c r="F168" s="118" t="s">
        <v>368</v>
      </c>
      <c r="G168" s="181" t="s">
        <v>369</v>
      </c>
      <c r="H168" s="120"/>
      <c r="I168" s="330" t="s">
        <v>370</v>
      </c>
      <c r="J168" s="91" t="str" cm="1">
        <f t="array" ref="J168">NomeDaCor(A168)</f>
        <v>Preto</v>
      </c>
      <c r="K168" s="450" t="str" cm="1">
        <f t="array" ref="K168">ExtrairHiperlink(D168)</f>
        <v>https://intra.senado.leg.br/sigad/novo/protocolo/impressao.asp?cod_protocolo=4406206&amp;area=processo</v>
      </c>
      <c r="L168" t="str" cm="1">
        <f t="array" ref="L168">ExtrairHiperlink(E168)</f>
        <v>https://intra.senado.leg.br/sigad/novo/protocolo/impressao.asp?area=processo&amp;cod_protocolo=4406546&amp;cod_frente_verso=&amp;cod_juntada=&amp;txt_funcao=</v>
      </c>
    </row>
    <row r="169" spans="1:12" ht="81" x14ac:dyDescent="0.25">
      <c r="A169" s="175"/>
      <c r="B169" s="176"/>
      <c r="C169" s="177"/>
      <c r="D169" s="268"/>
      <c r="E169" s="10" t="s">
        <v>46</v>
      </c>
      <c r="F169" s="177"/>
      <c r="G169" s="127"/>
      <c r="H169" s="182"/>
      <c r="I169" s="331"/>
      <c r="J169" s="91" t="str" cm="1">
        <f t="array" ref="J169">NomeDaCor(A169)</f>
        <v>Preto</v>
      </c>
      <c r="K169" s="450" t="str" cm="1">
        <f t="array" ref="K169">ExtrairHiperlink(D169)</f>
        <v>https://intra.senado.leg.br/sigad/novo/protocolo/impressao.asp?cod_protocolo=4406206&amp;area=processo</v>
      </c>
      <c r="L169" t="str" cm="1">
        <f t="array" ref="L169">ExtrairHiperlink(E169)</f>
        <v>https://intra.senado.leg.br/sigad/novo/protocolo/impressao.asp?area=processo&amp;cod_protocolo=4406546&amp;cod_frente_verso=&amp;cod_juntada=&amp;txt_funcao=</v>
      </c>
    </row>
    <row r="170" spans="1:12" ht="60" x14ac:dyDescent="0.25">
      <c r="A170" s="326"/>
      <c r="B170" s="105">
        <v>45728</v>
      </c>
      <c r="C170" s="145" t="s">
        <v>114</v>
      </c>
      <c r="D170" s="328" t="s">
        <v>115</v>
      </c>
      <c r="E170" s="2" t="s">
        <v>116</v>
      </c>
      <c r="F170" s="107" t="s">
        <v>371</v>
      </c>
      <c r="G170" s="135" t="s">
        <v>372</v>
      </c>
      <c r="H170" s="92"/>
      <c r="I170" s="185" t="s">
        <v>373</v>
      </c>
      <c r="J170" s="91" t="str" cm="1">
        <f t="array" ref="J170">NomeDaCor(A170)</f>
        <v>Laranja</v>
      </c>
      <c r="K170" s="450" t="str" cm="1">
        <f t="array" ref="K170">ExtrairHiperlink(D170)</f>
        <v>https://intra.senado.leg.br/sigad/novo/protocolo/impressao.asp?cod_protocolo=4269985&amp;area=processo</v>
      </c>
      <c r="L170" t="str" cm="1">
        <f t="array" ref="L170">ExtrairHiperlink(E170)</f>
        <v>https://intra.senado.leg.br/sigad/novo/protocolo/impressao.asp?area=processo&amp;cod_protocolo=4269913&amp;cod_frente_verso=&amp;cod_juntada=&amp;txt_funcao=</v>
      </c>
    </row>
    <row r="171" spans="1:12" ht="81" x14ac:dyDescent="0.25">
      <c r="A171" s="327"/>
      <c r="B171" s="106"/>
      <c r="C171" s="109"/>
      <c r="D171" s="146"/>
      <c r="E171" s="7" t="s">
        <v>25</v>
      </c>
      <c r="F171" s="109"/>
      <c r="G171" s="171"/>
      <c r="H171" s="93"/>
      <c r="I171" s="186"/>
      <c r="J171" s="91" t="str" cm="1">
        <f t="array" ref="J171">NomeDaCor(A171)</f>
        <v>Laranja</v>
      </c>
      <c r="K171" s="450" t="str" cm="1">
        <f t="array" ref="K171">ExtrairHiperlink(D171)</f>
        <v>https://intra.senado.leg.br/sigad/novo/protocolo/impressao.asp?cod_protocolo=4269985&amp;area=processo</v>
      </c>
      <c r="L171" t="str" cm="1">
        <f t="array" ref="L171">ExtrairHiperlink(E171)</f>
        <v>https://intra.senado.leg.br/sigad/novo/protocolo/impressao.asp?area=processo&amp;cod_protocolo=4269913&amp;cod_frente_verso=&amp;cod_juntada=&amp;txt_funcao=</v>
      </c>
    </row>
    <row r="172" spans="1:12" ht="60" x14ac:dyDescent="0.25">
      <c r="A172" s="323"/>
      <c r="B172" s="105">
        <v>45847</v>
      </c>
      <c r="C172" s="107" t="s">
        <v>374</v>
      </c>
      <c r="D172" s="132" t="s">
        <v>375</v>
      </c>
      <c r="E172" s="65" t="s">
        <v>376</v>
      </c>
      <c r="F172" s="107" t="s">
        <v>377</v>
      </c>
      <c r="G172" s="135" t="s">
        <v>378</v>
      </c>
      <c r="H172" s="92"/>
      <c r="I172" s="185" t="s">
        <v>379</v>
      </c>
      <c r="J172" s="91" t="str" cm="1">
        <f t="array" ref="J172">NomeDaCor(A172)</f>
        <v>Azul</v>
      </c>
      <c r="K172" s="450" t="str" cm="1">
        <f t="array" ref="K172">ExtrairHiperlink(D172)</f>
        <v>https://intra.senado.leg.br/sigad/novo/protocolo/impressao.asp?cod_protocolo=4417779&amp;area=processo</v>
      </c>
      <c r="L172" t="str" cm="1">
        <f t="array" ref="L172">ExtrairHiperlink(E172)</f>
        <v>https://intra.senado.leg.br/sigad/novo/protocolo/impressao.asp?area=processo&amp;cod_protocolo=4417988&amp;cod_frente_verso=&amp;cod_juntada=&amp;txt_funcao=</v>
      </c>
    </row>
    <row r="173" spans="1:12" ht="81" x14ac:dyDescent="0.25">
      <c r="A173" s="324"/>
      <c r="B173" s="106"/>
      <c r="C173" s="109"/>
      <c r="D173" s="146"/>
      <c r="E173" s="7" t="s">
        <v>25</v>
      </c>
      <c r="F173" s="109"/>
      <c r="G173" s="163"/>
      <c r="H173" s="153"/>
      <c r="I173" s="193"/>
      <c r="J173" s="91" t="str" cm="1">
        <f t="array" ref="J173">NomeDaCor(A173)</f>
        <v>Azul</v>
      </c>
      <c r="K173" s="450" t="str" cm="1">
        <f t="array" ref="K173">ExtrairHiperlink(D173)</f>
        <v>https://intra.senado.leg.br/sigad/novo/protocolo/impressao.asp?cod_protocolo=4417779&amp;area=processo</v>
      </c>
      <c r="L173" t="str" cm="1">
        <f t="array" ref="L173">ExtrairHiperlink(E173)</f>
        <v>https://intra.senado.leg.br/sigad/novo/protocolo/impressao.asp?area=processo&amp;cod_protocolo=4417988&amp;cod_frente_verso=&amp;cod_juntada=&amp;txt_funcao=</v>
      </c>
    </row>
    <row r="174" spans="1:12" ht="60" x14ac:dyDescent="0.25">
      <c r="A174" s="324"/>
      <c r="B174" s="105">
        <v>45855</v>
      </c>
      <c r="C174" s="107" t="s">
        <v>380</v>
      </c>
      <c r="D174" s="132" t="s">
        <v>381</v>
      </c>
      <c r="E174" s="65" t="s">
        <v>382</v>
      </c>
      <c r="F174" s="107" t="s">
        <v>383</v>
      </c>
      <c r="G174" s="163"/>
      <c r="H174" s="153"/>
      <c r="I174" s="193"/>
      <c r="J174" s="91" t="str" cm="1">
        <f t="array" ref="J174">NomeDaCor(A174)</f>
        <v>Azul</v>
      </c>
      <c r="K174" s="450" t="str" cm="1">
        <f t="array" ref="K174">ExtrairHiperlink(D174)</f>
        <v>https://intra.senado.leg.br/sigad/novo/protocolo/impressao.asp?cod_protocolo=4423211&amp;area=processo</v>
      </c>
      <c r="L174" t="str" cm="1">
        <f t="array" ref="L174">ExtrairHiperlink(E174)</f>
        <v>https://intra.senado.leg.br/sigad/novo/protocolo/impressao.asp?area=processo&amp;cod_protocolo=4423392&amp;cod_frente_verso=&amp;cod_juntada=&amp;txt_funcao=</v>
      </c>
    </row>
    <row r="175" spans="1:12" ht="81" x14ac:dyDescent="0.25">
      <c r="A175" s="324"/>
      <c r="B175" s="106"/>
      <c r="C175" s="109"/>
      <c r="D175" s="146"/>
      <c r="E175" s="7" t="s">
        <v>25</v>
      </c>
      <c r="F175" s="109"/>
      <c r="G175" s="164"/>
      <c r="H175" s="153"/>
      <c r="I175" s="193"/>
      <c r="J175" s="91" t="str" cm="1">
        <f t="array" ref="J175">NomeDaCor(A175)</f>
        <v>Azul</v>
      </c>
      <c r="K175" s="450" t="str" cm="1">
        <f t="array" ref="K175">ExtrairHiperlink(D175)</f>
        <v>https://intra.senado.leg.br/sigad/novo/protocolo/impressao.asp?cod_protocolo=4423211&amp;area=processo</v>
      </c>
      <c r="L175" t="str" cm="1">
        <f t="array" ref="L175">ExtrairHiperlink(E175)</f>
        <v>https://intra.senado.leg.br/sigad/novo/protocolo/impressao.asp?area=processo&amp;cod_protocolo=4423392&amp;cod_frente_verso=&amp;cod_juntada=&amp;txt_funcao=</v>
      </c>
    </row>
    <row r="176" spans="1:12" ht="60" x14ac:dyDescent="0.25">
      <c r="A176" s="324"/>
      <c r="B176" s="105">
        <v>45847</v>
      </c>
      <c r="C176" s="107" t="s">
        <v>384</v>
      </c>
      <c r="D176" s="132" t="s">
        <v>385</v>
      </c>
      <c r="E176" s="66" t="s">
        <v>386</v>
      </c>
      <c r="F176" s="107" t="s">
        <v>387</v>
      </c>
      <c r="G176" s="135">
        <v>45862</v>
      </c>
      <c r="H176" s="153"/>
      <c r="I176" s="193"/>
      <c r="J176" s="91" t="str" cm="1">
        <f t="array" ref="J176">NomeDaCor(A176)</f>
        <v>Azul</v>
      </c>
      <c r="K176" s="450" t="str" cm="1">
        <f t="array" ref="K176">ExtrairHiperlink(D176)</f>
        <v>https://intra.senado.leg.br/sigad/novo/protocolo/impressao.asp?cod_protocolo=4416641&amp;area=processo</v>
      </c>
      <c r="L176" t="str" cm="1">
        <f t="array" ref="L176">ExtrairHiperlink(E176)</f>
        <v>https://intra.senado.leg.br/sigad/novo/protocolo/impressao.asp?area=processo&amp;cod_protocolo=4416710&amp;cod_frente_verso=&amp;cod_juntada=&amp;txt_funcao=</v>
      </c>
    </row>
    <row r="177" spans="1:12" ht="81" x14ac:dyDescent="0.25">
      <c r="A177" s="325"/>
      <c r="B177" s="106"/>
      <c r="C177" s="109"/>
      <c r="D177" s="146"/>
      <c r="E177" s="10" t="s">
        <v>46</v>
      </c>
      <c r="F177" s="109"/>
      <c r="G177" s="171"/>
      <c r="H177" s="93"/>
      <c r="I177" s="186"/>
      <c r="J177" s="91" t="str" cm="1">
        <f t="array" ref="J177">NomeDaCor(A177)</f>
        <v>Azul</v>
      </c>
      <c r="K177" s="450" t="str" cm="1">
        <f t="array" ref="K177">ExtrairHiperlink(D177)</f>
        <v>https://intra.senado.leg.br/sigad/novo/protocolo/impressao.asp?cod_protocolo=4416641&amp;area=processo</v>
      </c>
      <c r="L177" t="str" cm="1">
        <f t="array" ref="L177">ExtrairHiperlink(E177)</f>
        <v>https://intra.senado.leg.br/sigad/novo/protocolo/impressao.asp?area=processo&amp;cod_protocolo=4416710&amp;cod_frente_verso=&amp;cod_juntada=&amp;txt_funcao=</v>
      </c>
    </row>
    <row r="178" spans="1:12" ht="60" x14ac:dyDescent="0.25">
      <c r="A178" s="269"/>
      <c r="B178" s="105">
        <v>45728</v>
      </c>
      <c r="C178" s="145" t="s">
        <v>114</v>
      </c>
      <c r="D178" s="132" t="s">
        <v>115</v>
      </c>
      <c r="E178" s="2" t="s">
        <v>116</v>
      </c>
      <c r="F178" s="107" t="s">
        <v>388</v>
      </c>
      <c r="G178" s="135" t="s">
        <v>389</v>
      </c>
      <c r="H178" s="92"/>
      <c r="I178" s="185" t="s">
        <v>379</v>
      </c>
      <c r="J178" s="91" t="str" cm="1">
        <f t="array" ref="J178">NomeDaCor(A178)</f>
        <v>Amarelo</v>
      </c>
      <c r="K178" s="450" t="str" cm="1">
        <f t="array" ref="K178">ExtrairHiperlink(D178)</f>
        <v>https://intra.senado.leg.br/sigad/novo/protocolo/impressao.asp?cod_protocolo=4269985&amp;area=processo</v>
      </c>
      <c r="L178" t="str" cm="1">
        <f t="array" ref="L178">ExtrairHiperlink(E178)</f>
        <v>https://intra.senado.leg.br/sigad/novo/protocolo/impressao.asp?area=processo&amp;cod_protocolo=4269913&amp;cod_frente_verso=&amp;cod_juntada=&amp;txt_funcao=</v>
      </c>
    </row>
    <row r="179" spans="1:12" ht="81" x14ac:dyDescent="0.25">
      <c r="A179" s="271"/>
      <c r="B179" s="106"/>
      <c r="C179" s="109"/>
      <c r="D179" s="146"/>
      <c r="E179" s="7" t="s">
        <v>25</v>
      </c>
      <c r="F179" s="109"/>
      <c r="G179" s="171"/>
      <c r="H179" s="93"/>
      <c r="I179" s="186"/>
      <c r="J179" s="91" t="str" cm="1">
        <f t="array" ref="J179">NomeDaCor(A179)</f>
        <v>Amarelo</v>
      </c>
      <c r="K179" s="450" t="str" cm="1">
        <f t="array" ref="K179">ExtrairHiperlink(D179)</f>
        <v>https://intra.senado.leg.br/sigad/novo/protocolo/impressao.asp?cod_protocolo=4269985&amp;area=processo</v>
      </c>
      <c r="L179" t="str" cm="1">
        <f t="array" ref="L179">ExtrairHiperlink(E179)</f>
        <v>https://intra.senado.leg.br/sigad/novo/protocolo/impressao.asp?area=processo&amp;cod_protocolo=4269913&amp;cod_frente_verso=&amp;cod_juntada=&amp;txt_funcao=</v>
      </c>
    </row>
    <row r="180" spans="1:12" ht="60" x14ac:dyDescent="0.25">
      <c r="A180" s="321"/>
      <c r="B180" s="105">
        <v>45804</v>
      </c>
      <c r="C180" s="107" t="s">
        <v>390</v>
      </c>
      <c r="D180" s="132" t="s">
        <v>391</v>
      </c>
      <c r="E180" s="2" t="s">
        <v>392</v>
      </c>
      <c r="F180" s="107" t="s">
        <v>393</v>
      </c>
      <c r="G180" s="147" t="s">
        <v>394</v>
      </c>
      <c r="H180" s="92"/>
      <c r="I180" s="185" t="s">
        <v>379</v>
      </c>
      <c r="J180" s="91" t="str" cm="1">
        <f t="array" ref="J180">NomeDaCor(A180)</f>
        <v>Laranja</v>
      </c>
      <c r="K180" s="450" t="str" cm="1">
        <f t="array" ref="K180">ExtrairHiperlink(D180)</f>
        <v>https://intra.senado.leg.br/sigad/novo/protocolo/impressao.asp?cod_protocolo=4363164&amp;area=processo</v>
      </c>
      <c r="L180" t="str" cm="1">
        <f t="array" ref="L180">ExtrairHiperlink(E180)</f>
        <v>https://intra.senado.leg.br/sigad/novo/protocolo/impressao.asp?area=processo&amp;cod_protocolo=4364865&amp;cod_frente_verso=&amp;cod_juntada=&amp;txt_funcao=</v>
      </c>
    </row>
    <row r="181" spans="1:12" ht="81" x14ac:dyDescent="0.25">
      <c r="A181" s="322"/>
      <c r="B181" s="106"/>
      <c r="C181" s="109"/>
      <c r="D181" s="146"/>
      <c r="E181" s="7" t="s">
        <v>25</v>
      </c>
      <c r="F181" s="109"/>
      <c r="G181" s="171"/>
      <c r="H181" s="93"/>
      <c r="I181" s="186"/>
      <c r="J181" s="91" t="str" cm="1">
        <f t="array" ref="J181">NomeDaCor(A181)</f>
        <v>Laranja</v>
      </c>
      <c r="K181" s="450" t="str" cm="1">
        <f t="array" ref="K181">ExtrairHiperlink(D181)</f>
        <v>https://intra.senado.leg.br/sigad/novo/protocolo/impressao.asp?cod_protocolo=4363164&amp;area=processo</v>
      </c>
      <c r="L181" t="str" cm="1">
        <f t="array" ref="L181">ExtrairHiperlink(E181)</f>
        <v>https://intra.senado.leg.br/sigad/novo/protocolo/impressao.asp?area=processo&amp;cod_protocolo=4364865&amp;cod_frente_verso=&amp;cod_juntada=&amp;txt_funcao=</v>
      </c>
    </row>
    <row r="182" spans="1:12" ht="60" x14ac:dyDescent="0.25">
      <c r="A182" s="276"/>
      <c r="B182" s="105">
        <v>45652</v>
      </c>
      <c r="C182" s="107" t="s">
        <v>26</v>
      </c>
      <c r="D182" s="100" t="s">
        <v>27</v>
      </c>
      <c r="E182" s="2" t="s">
        <v>28</v>
      </c>
      <c r="F182" s="107" t="s">
        <v>395</v>
      </c>
      <c r="G182" s="319" t="s">
        <v>396</v>
      </c>
      <c r="H182" s="309" t="s">
        <v>397</v>
      </c>
      <c r="I182" s="197" t="s">
        <v>398</v>
      </c>
      <c r="J182" s="91" t="str" cm="1">
        <f t="array" ref="J182">NomeDaCor(A182)</f>
        <v>Amarelo</v>
      </c>
      <c r="K182" s="450" t="str" cm="1">
        <f t="array" ref="K182">ExtrairHiperlink(D182)</f>
        <v>https://intra.senado.leg.br/sigad/novo/protocolo/impressao.asp?cod_protocolo=4184491&amp;area=processo</v>
      </c>
      <c r="L182" t="str" cm="1">
        <f t="array" ref="L182">ExtrairHiperlink(E182)</f>
        <v>https://intra.senado.leg.br/sigad/novo/protocolo/impressao.asp?area=processo&amp;cod_protocolo=4223434&amp;cod_frente_verso=&amp;cod_juntada=&amp;txt_funcao=</v>
      </c>
    </row>
    <row r="183" spans="1:12" ht="81" x14ac:dyDescent="0.25">
      <c r="A183" s="277"/>
      <c r="B183" s="106"/>
      <c r="C183" s="108"/>
      <c r="D183" s="100"/>
      <c r="E183" s="7" t="s">
        <v>25</v>
      </c>
      <c r="F183" s="109"/>
      <c r="G183" s="320"/>
      <c r="H183" s="318"/>
      <c r="I183" s="198"/>
      <c r="J183" s="91" t="str" cm="1">
        <f t="array" ref="J183">NomeDaCor(A183)</f>
        <v>Amarelo</v>
      </c>
      <c r="K183" s="450" t="str" cm="1">
        <f t="array" ref="K183">ExtrairHiperlink(D183)</f>
        <v>https://intra.senado.leg.br/sigad/novo/protocolo/impressao.asp?cod_protocolo=4184491&amp;area=processo</v>
      </c>
      <c r="L183" t="str" cm="1">
        <f t="array" ref="L183">ExtrairHiperlink(E183)</f>
        <v>https://intra.senado.leg.br/sigad/novo/protocolo/impressao.asp?area=processo&amp;cod_protocolo=4223434&amp;cod_frente_verso=&amp;cod_juntada=&amp;txt_funcao=</v>
      </c>
    </row>
    <row r="184" spans="1:12" ht="60" x14ac:dyDescent="0.25">
      <c r="A184" s="277"/>
      <c r="B184" s="105">
        <v>45692</v>
      </c>
      <c r="C184" s="107" t="s">
        <v>203</v>
      </c>
      <c r="D184" s="132" t="s">
        <v>204</v>
      </c>
      <c r="E184" s="2" t="s">
        <v>205</v>
      </c>
      <c r="F184" s="107" t="s">
        <v>399</v>
      </c>
      <c r="G184" s="320"/>
      <c r="H184" s="318"/>
      <c r="I184" s="198"/>
      <c r="J184" s="91" t="str" cm="1">
        <f t="array" ref="J184">NomeDaCor(A184)</f>
        <v>Amarelo</v>
      </c>
      <c r="K184" s="450" t="str" cm="1">
        <f t="array" ref="K184">ExtrairHiperlink(D184)</f>
        <v>https://intra.senado.leg.br/sigad/novo/protocolo/impressao.asp?cod_protocolo=4226567&amp;area=processo</v>
      </c>
      <c r="L184" t="str" cm="1">
        <f t="array" ref="L184">ExtrairHiperlink(E184)</f>
        <v>https://intra.senado.leg.br/sigad/novo/protocolo/impressao.asp?cod_protocolo=4241695&amp;area=documento</v>
      </c>
    </row>
    <row r="185" spans="1:12" ht="81" x14ac:dyDescent="0.25">
      <c r="A185" s="277"/>
      <c r="B185" s="106"/>
      <c r="C185" s="108"/>
      <c r="D185" s="146"/>
      <c r="E185" s="7" t="s">
        <v>25</v>
      </c>
      <c r="F185" s="109"/>
      <c r="G185" s="320"/>
      <c r="H185" s="318"/>
      <c r="I185" s="198"/>
      <c r="J185" s="91" t="str" cm="1">
        <f t="array" ref="J185">NomeDaCor(A185)</f>
        <v>Amarelo</v>
      </c>
      <c r="K185" s="450" t="str" cm="1">
        <f t="array" ref="K185">ExtrairHiperlink(D185)</f>
        <v>https://intra.senado.leg.br/sigad/novo/protocolo/impressao.asp?cod_protocolo=4226567&amp;area=processo</v>
      </c>
      <c r="L185" t="str" cm="1">
        <f t="array" ref="L185">ExtrairHiperlink(E185)</f>
        <v>https://intra.senado.leg.br/sigad/novo/protocolo/impressao.asp?cod_protocolo=4241695&amp;area=documento</v>
      </c>
    </row>
    <row r="186" spans="1:12" ht="60" x14ac:dyDescent="0.25">
      <c r="A186" s="277"/>
      <c r="B186" s="105">
        <v>45859</v>
      </c>
      <c r="C186" s="145" t="s">
        <v>400</v>
      </c>
      <c r="D186" s="132" t="s">
        <v>401</v>
      </c>
      <c r="E186" s="2" t="s">
        <v>402</v>
      </c>
      <c r="F186" s="107" t="s">
        <v>403</v>
      </c>
      <c r="G186" s="320"/>
      <c r="H186" s="318"/>
      <c r="I186" s="198"/>
      <c r="J186" s="91" t="str" cm="1">
        <f t="array" ref="J186">NomeDaCor(A186)</f>
        <v>Amarelo</v>
      </c>
      <c r="K186" s="450" t="str" cm="1">
        <f t="array" ref="K186">ExtrairHiperlink(D186)</f>
        <v>https://intra.senado.leg.br/sigad/visualizador/PdfJs/web/viewer.html?cod_protocolo=4424941&amp;cod_pagina=&amp;cod_usuario=82996&amp;cod_orgao=9694&amp;token=11B2QYPNV1CIBX6</v>
      </c>
      <c r="L186" t="str" cm="1">
        <f t="array" ref="L186">ExtrairHiperlink(E186)</f>
        <v>https://intra.senado.leg.br/sigad/visualizador/PdfJs/web/viewer.html?cod_protocolo=4434850&amp;cod_pagina=&amp;cod_usuario=76880&amp;cod_orgao=9694&amp;token=0EDF2SUAW7023EF</v>
      </c>
    </row>
    <row r="187" spans="1:12" ht="81" x14ac:dyDescent="0.25">
      <c r="A187" s="277"/>
      <c r="B187" s="106"/>
      <c r="C187" s="108"/>
      <c r="D187" s="146"/>
      <c r="E187" s="7" t="s">
        <v>25</v>
      </c>
      <c r="F187" s="109"/>
      <c r="G187" s="320"/>
      <c r="H187" s="318"/>
      <c r="I187" s="198"/>
      <c r="J187" s="91" t="str" cm="1">
        <f t="array" ref="J187">NomeDaCor(A187)</f>
        <v>Amarelo</v>
      </c>
      <c r="K187" s="450" t="str" cm="1">
        <f t="array" ref="K187">ExtrairHiperlink(D187)</f>
        <v>https://intra.senado.leg.br/sigad/visualizador/PdfJs/web/viewer.html?cod_protocolo=4424941&amp;cod_pagina=&amp;cod_usuario=82996&amp;cod_orgao=9694&amp;token=11B2QYPNV1CIBX6</v>
      </c>
      <c r="L187" t="str" cm="1">
        <f t="array" ref="L187">ExtrairHiperlink(E187)</f>
        <v>https://intra.senado.leg.br/sigad/visualizador/PdfJs/web/viewer.html?cod_protocolo=4434850&amp;cod_pagina=&amp;cod_usuario=76880&amp;cod_orgao=9694&amp;token=0EDF2SUAW7023EF</v>
      </c>
    </row>
    <row r="188" spans="1:12" ht="60" x14ac:dyDescent="0.25">
      <c r="A188" s="277"/>
      <c r="B188" s="105">
        <v>45728</v>
      </c>
      <c r="C188" s="145" t="s">
        <v>114</v>
      </c>
      <c r="D188" s="132" t="s">
        <v>115</v>
      </c>
      <c r="E188" s="2" t="s">
        <v>116</v>
      </c>
      <c r="F188" s="107" t="s">
        <v>404</v>
      </c>
      <c r="G188" s="320"/>
      <c r="H188" s="318"/>
      <c r="I188" s="198"/>
      <c r="J188" s="91" t="str" cm="1">
        <f t="array" ref="J188">NomeDaCor(A188)</f>
        <v>Amarelo</v>
      </c>
      <c r="K188" s="450" t="str" cm="1">
        <f t="array" ref="K188">ExtrairHiperlink(D188)</f>
        <v>https://intra.senado.leg.br/sigad/novo/protocolo/impressao.asp?cod_protocolo=4269985&amp;area=processo</v>
      </c>
      <c r="L188" t="str" cm="1">
        <f t="array" ref="L188">ExtrairHiperlink(E188)</f>
        <v>https://intra.senado.leg.br/sigad/novo/protocolo/impressao.asp?area=processo&amp;cod_protocolo=4269913&amp;cod_frente_verso=&amp;cod_juntada=&amp;txt_funcao=</v>
      </c>
    </row>
    <row r="189" spans="1:12" ht="81" x14ac:dyDescent="0.25">
      <c r="A189" s="278"/>
      <c r="B189" s="106"/>
      <c r="C189" s="109"/>
      <c r="D189" s="146"/>
      <c r="E189" s="7" t="s">
        <v>25</v>
      </c>
      <c r="F189" s="109"/>
      <c r="G189" s="300"/>
      <c r="H189" s="310"/>
      <c r="I189" s="199"/>
      <c r="J189" s="91" t="str" cm="1">
        <f t="array" ref="J189">NomeDaCor(A189)</f>
        <v>Amarelo</v>
      </c>
      <c r="K189" s="450" t="str" cm="1">
        <f t="array" ref="K189">ExtrairHiperlink(D189)</f>
        <v>https://intra.senado.leg.br/sigad/novo/protocolo/impressao.asp?cod_protocolo=4269985&amp;area=processo</v>
      </c>
      <c r="L189" t="str" cm="1">
        <f t="array" ref="L189">ExtrairHiperlink(E189)</f>
        <v>https://intra.senado.leg.br/sigad/novo/protocolo/impressao.asp?area=processo&amp;cod_protocolo=4269913&amp;cod_frente_verso=&amp;cod_juntada=&amp;txt_funcao=</v>
      </c>
    </row>
    <row r="190" spans="1:12" ht="60" x14ac:dyDescent="0.25">
      <c r="A190" s="313"/>
      <c r="B190" s="105">
        <v>45652</v>
      </c>
      <c r="C190" s="107" t="s">
        <v>405</v>
      </c>
      <c r="D190" s="100" t="s">
        <v>27</v>
      </c>
      <c r="E190" s="2" t="s">
        <v>28</v>
      </c>
      <c r="F190" s="107" t="s">
        <v>406</v>
      </c>
      <c r="G190" s="299" t="s">
        <v>407</v>
      </c>
      <c r="H190" s="309" t="s">
        <v>408</v>
      </c>
      <c r="I190" s="197" t="s">
        <v>409</v>
      </c>
      <c r="J190" s="91" t="str" cm="1">
        <f t="array" ref="J190">NomeDaCor(A190)</f>
        <v>Lilás</v>
      </c>
      <c r="K190" s="450" t="str" cm="1">
        <f t="array" ref="K190">ExtrairHiperlink(D190)</f>
        <v>https://intra.senado.leg.br/sigad/novo/protocolo/impressao.asp?cod_protocolo=4184491&amp;area=processo</v>
      </c>
      <c r="L190" t="str" cm="1">
        <f t="array" ref="L190">ExtrairHiperlink(E190)</f>
        <v>https://intra.senado.leg.br/sigad/novo/protocolo/impressao.asp?area=processo&amp;cod_protocolo=4223434&amp;cod_frente_verso=&amp;cod_juntada=&amp;txt_funcao=</v>
      </c>
    </row>
    <row r="191" spans="1:12" ht="81" x14ac:dyDescent="0.25">
      <c r="A191" s="314"/>
      <c r="B191" s="106"/>
      <c r="C191" s="108"/>
      <c r="D191" s="100"/>
      <c r="E191" s="7" t="s">
        <v>25</v>
      </c>
      <c r="F191" s="109"/>
      <c r="G191" s="316"/>
      <c r="H191" s="311"/>
      <c r="I191" s="198"/>
      <c r="J191" s="91" t="str" cm="1">
        <f t="array" ref="J191">NomeDaCor(A191)</f>
        <v>Lilás</v>
      </c>
      <c r="K191" s="450" t="str" cm="1">
        <f t="array" ref="K191">ExtrairHiperlink(D191)</f>
        <v>https://intra.senado.leg.br/sigad/novo/protocolo/impressao.asp?cod_protocolo=4184491&amp;area=processo</v>
      </c>
      <c r="L191" t="str" cm="1">
        <f t="array" ref="L191">ExtrairHiperlink(E191)</f>
        <v>https://intra.senado.leg.br/sigad/novo/protocolo/impressao.asp?area=processo&amp;cod_protocolo=4223434&amp;cod_frente_verso=&amp;cod_juntada=&amp;txt_funcao=</v>
      </c>
    </row>
    <row r="192" spans="1:12" ht="60" x14ac:dyDescent="0.25">
      <c r="A192" s="314"/>
      <c r="B192" s="105">
        <v>45859</v>
      </c>
      <c r="C192" s="145" t="s">
        <v>400</v>
      </c>
      <c r="D192" s="132" t="s">
        <v>401</v>
      </c>
      <c r="E192" s="2" t="s">
        <v>402</v>
      </c>
      <c r="F192" s="107" t="s">
        <v>410</v>
      </c>
      <c r="G192" s="316"/>
      <c r="H192" s="311"/>
      <c r="I192" s="198"/>
      <c r="J192" s="91" t="str" cm="1">
        <f t="array" ref="J192">NomeDaCor(A192)</f>
        <v>Lilás</v>
      </c>
      <c r="K192" s="450" t="str" cm="1">
        <f t="array" ref="K192">ExtrairHiperlink(D192)</f>
        <v>https://intra.senado.leg.br/sigad/visualizador/PdfJs/web/viewer.html?cod_protocolo=4424941&amp;cod_pagina=&amp;cod_usuario=82996&amp;cod_orgao=9694&amp;token=11B2QYPNV1CIBX6</v>
      </c>
      <c r="L192" t="str" cm="1">
        <f t="array" ref="L192">ExtrairHiperlink(E192)</f>
        <v>https://intra.senado.leg.br/sigad/visualizador/PdfJs/web/viewer.html?cod_protocolo=4434850&amp;cod_pagina=&amp;cod_usuario=76880&amp;cod_orgao=9694&amp;token=0EDF2SUAW7023EF</v>
      </c>
    </row>
    <row r="193" spans="1:12" ht="81" x14ac:dyDescent="0.25">
      <c r="A193" s="314"/>
      <c r="B193" s="106"/>
      <c r="C193" s="108"/>
      <c r="D193" s="146"/>
      <c r="E193" s="7" t="s">
        <v>25</v>
      </c>
      <c r="F193" s="109"/>
      <c r="G193" s="316"/>
      <c r="H193" s="312"/>
      <c r="I193" s="198"/>
      <c r="J193" s="91" t="str" cm="1">
        <f t="array" ref="J193">NomeDaCor(A193)</f>
        <v>Lilás</v>
      </c>
      <c r="K193" s="450" t="str" cm="1">
        <f t="array" ref="K193">ExtrairHiperlink(D193)</f>
        <v>https://intra.senado.leg.br/sigad/visualizador/PdfJs/web/viewer.html?cod_protocolo=4424941&amp;cod_pagina=&amp;cod_usuario=82996&amp;cod_orgao=9694&amp;token=11B2QYPNV1CIBX6</v>
      </c>
      <c r="L193" t="str" cm="1">
        <f t="array" ref="L193">ExtrairHiperlink(E193)</f>
        <v>https://intra.senado.leg.br/sigad/visualizador/PdfJs/web/viewer.html?cod_protocolo=4434850&amp;cod_pagina=&amp;cod_usuario=76880&amp;cod_orgao=9694&amp;token=0EDF2SUAW7023EF</v>
      </c>
    </row>
    <row r="194" spans="1:12" ht="60" x14ac:dyDescent="0.25">
      <c r="A194" s="314"/>
      <c r="B194" s="105">
        <v>45692</v>
      </c>
      <c r="C194" s="107" t="s">
        <v>55</v>
      </c>
      <c r="D194" s="132" t="s">
        <v>137</v>
      </c>
      <c r="E194" s="2" t="s">
        <v>138</v>
      </c>
      <c r="F194" s="107" t="s">
        <v>411</v>
      </c>
      <c r="G194" s="316"/>
      <c r="H194" s="309" t="s">
        <v>412</v>
      </c>
      <c r="I194" s="198"/>
      <c r="J194" s="91" t="str" cm="1">
        <f t="array" ref="J194">NomeDaCor(A194)</f>
        <v>Lilás</v>
      </c>
      <c r="K194" s="450" t="str" cm="1">
        <f t="array" ref="K194">ExtrairHiperlink(D194)</f>
        <v>https://intra.senado.leg.br/sigad/novo/protocolo/impressao.asp?cod_protocolo=4228774&amp;area=processo</v>
      </c>
      <c r="L194" t="str" cm="1">
        <f t="array" ref="L194">ExtrairHiperlink(E194)</f>
        <v>https://intra.senado.leg.br/sigad/novo/protocolo/impressao.asp?cod_protocolo=4241698&amp;area=documento</v>
      </c>
    </row>
    <row r="195" spans="1:12" ht="81" x14ac:dyDescent="0.25">
      <c r="A195" s="314"/>
      <c r="B195" s="106"/>
      <c r="C195" s="109"/>
      <c r="D195" s="146"/>
      <c r="E195" s="7" t="s">
        <v>25</v>
      </c>
      <c r="F195" s="108"/>
      <c r="G195" s="316"/>
      <c r="H195" s="310"/>
      <c r="I195" s="198"/>
      <c r="J195" s="91" t="str" cm="1">
        <f t="array" ref="J195">NomeDaCor(A195)</f>
        <v>Lilás</v>
      </c>
      <c r="K195" s="450" t="str" cm="1">
        <f t="array" ref="K195">ExtrairHiperlink(D195)</f>
        <v>https://intra.senado.leg.br/sigad/novo/protocolo/impressao.asp?cod_protocolo=4228774&amp;area=processo</v>
      </c>
      <c r="L195" t="str" cm="1">
        <f t="array" ref="L195">ExtrairHiperlink(E195)</f>
        <v>https://intra.senado.leg.br/sigad/novo/protocolo/impressao.asp?cod_protocolo=4241698&amp;area=documento</v>
      </c>
    </row>
    <row r="196" spans="1:12" ht="60" x14ac:dyDescent="0.25">
      <c r="A196" s="314"/>
      <c r="B196" s="105" t="s">
        <v>413</v>
      </c>
      <c r="C196" s="107" t="s">
        <v>203</v>
      </c>
      <c r="D196" s="132" t="s">
        <v>414</v>
      </c>
      <c r="E196" s="3" t="s">
        <v>415</v>
      </c>
      <c r="F196" s="107" t="s">
        <v>416</v>
      </c>
      <c r="G196" s="316"/>
      <c r="H196" s="67"/>
      <c r="I196" s="198"/>
      <c r="J196" s="91" t="str" cm="1">
        <f t="array" ref="J196">NomeDaCor(A196)</f>
        <v>Lilás</v>
      </c>
      <c r="K196" s="450" t="str" cm="1">
        <f t="array" ref="K196">ExtrairHiperlink(D196)</f>
        <v>https://intra.senado.leg.br/sigad/novo/protocolo/impressao.asp?cod_protocolo=4228774&amp;area=processo</v>
      </c>
      <c r="L196" t="str" cm="1">
        <f t="array" ref="L196">ExtrairHiperlink(E196)</f>
        <v>https://intra.senado.leg.br/sigad/visualizador/PdfJs/web/viewer.html?cod_protocolo=4437034&amp;cod_pagina=&amp;cod_usuario=76880&amp;cod_orgao=9694&amp;token=E17T6GVD9FH2WEV</v>
      </c>
    </row>
    <row r="197" spans="1:12" ht="81" x14ac:dyDescent="0.25">
      <c r="A197" s="314"/>
      <c r="B197" s="106"/>
      <c r="C197" s="108"/>
      <c r="D197" s="146"/>
      <c r="E197" s="43" t="s">
        <v>46</v>
      </c>
      <c r="F197" s="108"/>
      <c r="G197" s="316"/>
      <c r="H197" s="67"/>
      <c r="I197" s="198"/>
      <c r="J197" s="91" t="str" cm="1">
        <f t="array" ref="J197">NomeDaCor(A197)</f>
        <v>Lilás</v>
      </c>
      <c r="K197" s="450" t="str" cm="1">
        <f t="array" ref="K197">ExtrairHiperlink(D197)</f>
        <v>https://intra.senado.leg.br/sigad/novo/protocolo/impressao.asp?cod_protocolo=4228774&amp;area=processo</v>
      </c>
      <c r="L197" t="str" cm="1">
        <f t="array" ref="L197">ExtrairHiperlink(E197)</f>
        <v>https://intra.senado.leg.br/sigad/visualizador/PdfJs/web/viewer.html?cod_protocolo=4437034&amp;cod_pagina=&amp;cod_usuario=76880&amp;cod_orgao=9694&amp;token=E17T6GVD9FH2WEV</v>
      </c>
    </row>
    <row r="198" spans="1:12" ht="60" x14ac:dyDescent="0.25">
      <c r="A198" s="314"/>
      <c r="B198" s="105">
        <v>46238</v>
      </c>
      <c r="C198" s="107" t="s">
        <v>417</v>
      </c>
      <c r="D198" s="132" t="s">
        <v>418</v>
      </c>
      <c r="E198" s="68" t="s">
        <v>419</v>
      </c>
      <c r="F198" s="107" t="s">
        <v>420</v>
      </c>
      <c r="G198" s="316"/>
      <c r="H198" s="67"/>
      <c r="I198" s="198"/>
      <c r="J198" s="91" t="str" cm="1">
        <f t="array" ref="J198">NomeDaCor(A198)</f>
        <v>Lilás</v>
      </c>
      <c r="K198" s="450" t="str" cm="1">
        <f t="array" ref="K198">ExtrairHiperlink(D198)</f>
        <v>https://intra.senado.leg.br/sigad/protocolo/impressao_arquivo.asp?cod_protocolo=4438603&amp;area=processo</v>
      </c>
      <c r="L198" t="str" cm="1">
        <f t="array" ref="L198">ExtrairHiperlink(E198)</f>
        <v>https://intra.senado.leg.br/sigad/visualizador/PdfJs/web/viewer.html?cod_protocolo=4438810&amp;cod_pagina=&amp;cod_usuario=76880&amp;cod_orgao=9694&amp;token=6HH1HTUYTHYL6YC</v>
      </c>
    </row>
    <row r="199" spans="1:12" ht="81" x14ac:dyDescent="0.25">
      <c r="A199" s="315"/>
      <c r="B199" s="106"/>
      <c r="C199" s="108"/>
      <c r="D199" s="146"/>
      <c r="E199" s="43" t="s">
        <v>46</v>
      </c>
      <c r="F199" s="109"/>
      <c r="G199" s="317"/>
      <c r="H199" s="67"/>
      <c r="I199" s="199"/>
      <c r="J199" s="91" t="str" cm="1">
        <f t="array" ref="J199">NomeDaCor(A199)</f>
        <v>Lilás</v>
      </c>
      <c r="K199" s="450" t="str" cm="1">
        <f t="array" ref="K199">ExtrairHiperlink(D199)</f>
        <v>https://intra.senado.leg.br/sigad/protocolo/impressao_arquivo.asp?cod_protocolo=4438603&amp;area=processo</v>
      </c>
      <c r="L199" t="str" cm="1">
        <f t="array" ref="L199">ExtrairHiperlink(E199)</f>
        <v>https://intra.senado.leg.br/sigad/visualizador/PdfJs/web/viewer.html?cod_protocolo=4438810&amp;cod_pagina=&amp;cod_usuario=76880&amp;cod_orgao=9694&amp;token=6HH1HTUYTHYL6YC</v>
      </c>
    </row>
    <row r="200" spans="1:12" ht="60" x14ac:dyDescent="0.25">
      <c r="A200" s="136"/>
      <c r="B200" s="105">
        <v>45693</v>
      </c>
      <c r="C200" s="107" t="s">
        <v>63</v>
      </c>
      <c r="D200" s="132" t="s">
        <v>38</v>
      </c>
      <c r="E200" s="2" t="s">
        <v>39</v>
      </c>
      <c r="F200" s="107" t="s">
        <v>421</v>
      </c>
      <c r="G200" s="147" t="s">
        <v>422</v>
      </c>
      <c r="H200" s="92"/>
      <c r="I200" s="304" t="s">
        <v>423</v>
      </c>
      <c r="J200" s="91" t="str" cm="1">
        <f t="array" ref="J200">NomeDaCor(A200)</f>
        <v>Azul</v>
      </c>
      <c r="K200" s="450" t="str" cm="1">
        <f t="array" ref="K200">ExtrairHiperlink(D200)</f>
        <v>https://intra.senado.leg.br/sigad/novo/protocolo/impressao.asp?cod_protocolo=4227195</v>
      </c>
      <c r="L200" t="str" cm="1">
        <f t="array" ref="L200">ExtrairHiperlink(E200)</f>
        <v>https://intra.senado.leg.br/sigad/novo/protocolo/impressao.asp?area=processo&amp;cod_protocolo=4236444&amp;cod_frente_verso=&amp;cod_juntada=&amp;txt_funcao=</v>
      </c>
    </row>
    <row r="201" spans="1:12" ht="81" x14ac:dyDescent="0.25">
      <c r="A201" s="137"/>
      <c r="B201" s="106"/>
      <c r="C201" s="109"/>
      <c r="D201" s="146"/>
      <c r="E201" s="7" t="s">
        <v>25</v>
      </c>
      <c r="F201" s="108"/>
      <c r="G201" s="111"/>
      <c r="H201" s="93"/>
      <c r="I201" s="305"/>
      <c r="J201" s="91" t="str" cm="1">
        <f t="array" ref="J201">NomeDaCor(A201)</f>
        <v>Azul</v>
      </c>
      <c r="K201" s="450" t="str" cm="1">
        <f t="array" ref="K201">ExtrairHiperlink(D201)</f>
        <v>https://intra.senado.leg.br/sigad/novo/protocolo/impressao.asp?cod_protocolo=4227195</v>
      </c>
      <c r="L201" t="str" cm="1">
        <f t="array" ref="L201">ExtrairHiperlink(E201)</f>
        <v>https://intra.senado.leg.br/sigad/novo/protocolo/impressao.asp?area=processo&amp;cod_protocolo=4236444&amp;cod_frente_verso=&amp;cod_juntada=&amp;txt_funcao=</v>
      </c>
    </row>
    <row r="202" spans="1:12" x14ac:dyDescent="0.25">
      <c r="A202" s="306"/>
      <c r="B202" s="97">
        <v>45854</v>
      </c>
      <c r="C202" s="98" t="s">
        <v>424</v>
      </c>
      <c r="D202" s="100" t="s">
        <v>425</v>
      </c>
      <c r="E202" s="307" t="s">
        <v>315</v>
      </c>
      <c r="F202" s="98" t="s">
        <v>426</v>
      </c>
      <c r="G202" s="308">
        <v>45882</v>
      </c>
      <c r="H202" s="184"/>
      <c r="I202" s="301" t="s">
        <v>427</v>
      </c>
      <c r="J202" s="91" t="str" cm="1">
        <f t="array" ref="J202">NomeDaCor(A202)</f>
        <v>Roxo Escuro</v>
      </c>
      <c r="K202" s="450" t="str" cm="1">
        <f t="array" ref="K202">ExtrairHiperlink(D202)</f>
        <v>https://intra.senado.leg.br/sigad/novo/protocolo/impressao.asp?cod_protocolo=4424781&amp;area=processo</v>
      </c>
      <c r="L202" t="str" cm="1">
        <f t="array" ref="L202">ExtrairHiperlink(E202)</f>
        <v>https://intra.senado.leg.br/sigad/novo/protocolo/impressao.asp?area=processo&amp;cod_protocolo=4236444&amp;cod_frente_verso=&amp;cod_juntada=&amp;txt_funcao=</v>
      </c>
    </row>
    <row r="203" spans="1:12" x14ac:dyDescent="0.25">
      <c r="A203" s="306"/>
      <c r="B203" s="97"/>
      <c r="C203" s="98"/>
      <c r="D203" s="100"/>
      <c r="E203" s="307"/>
      <c r="F203" s="99"/>
      <c r="G203" s="102"/>
      <c r="H203" s="184"/>
      <c r="I203" s="302"/>
      <c r="J203" s="91" t="str" cm="1">
        <f t="array" ref="J203">NomeDaCor(A203)</f>
        <v>Roxo Escuro</v>
      </c>
      <c r="K203" s="450" t="str" cm="1">
        <f t="array" ref="K203">ExtrairHiperlink(D203)</f>
        <v>https://intra.senado.leg.br/sigad/novo/protocolo/impressao.asp?cod_protocolo=4424781&amp;area=processo</v>
      </c>
      <c r="L203" t="str" cm="1">
        <f t="array" ref="L203">ExtrairHiperlink(E203)</f>
        <v>https://intra.senado.leg.br/sigad/novo/protocolo/impressao.asp?area=processo&amp;cod_protocolo=4236444&amp;cod_frente_verso=&amp;cod_juntada=&amp;txt_funcao=</v>
      </c>
    </row>
    <row r="204" spans="1:12" ht="60" x14ac:dyDescent="0.25">
      <c r="A204" s="290"/>
      <c r="B204" s="291">
        <v>45854</v>
      </c>
      <c r="C204" s="293" t="s">
        <v>428</v>
      </c>
      <c r="D204" s="303" t="s">
        <v>425</v>
      </c>
      <c r="E204" s="46" t="s">
        <v>429</v>
      </c>
      <c r="F204" s="295" t="s">
        <v>430</v>
      </c>
      <c r="G204" s="297" t="s">
        <v>431</v>
      </c>
      <c r="H204" s="287"/>
      <c r="I204" s="288"/>
      <c r="J204" s="91" t="str" cm="1">
        <f t="array" ref="J204">NomeDaCor(A204)</f>
        <v>Preto</v>
      </c>
      <c r="K204" s="450" t="str" cm="1">
        <f t="array" ref="K204">ExtrairHiperlink(D204)</f>
        <v>https://intra.senado.leg.br/sigad/novo/protocolo/impressao.asp?cod_protocolo=4424781&amp;area=processo</v>
      </c>
      <c r="L204" t="str" cm="1">
        <f t="array" ref="L204">ExtrairHiperlink(E204)</f>
        <v>https://intra.senado.leg.br/sigad/visualizador/PdfJs/web/viewer.html?cod_protocolo=4443155&amp;cod_pagina=&amp;cod_usuario=76880&amp;cod_orgao=9694&amp;token=MLKKJNAW7X1653X</v>
      </c>
    </row>
    <row r="205" spans="1:12" ht="81" x14ac:dyDescent="0.25">
      <c r="A205" s="290"/>
      <c r="B205" s="291"/>
      <c r="C205" s="293"/>
      <c r="D205" s="303"/>
      <c r="E205" s="69" t="s">
        <v>25</v>
      </c>
      <c r="F205" s="296"/>
      <c r="G205" s="298"/>
      <c r="H205" s="287"/>
      <c r="I205" s="288"/>
      <c r="J205" s="91" t="str" cm="1">
        <f t="array" ref="J205">NomeDaCor(A205)</f>
        <v>Preto</v>
      </c>
      <c r="K205" s="450" t="str" cm="1">
        <f t="array" ref="K205">ExtrairHiperlink(D205)</f>
        <v>https://intra.senado.leg.br/sigad/novo/protocolo/impressao.asp?cod_protocolo=4424781&amp;area=processo</v>
      </c>
      <c r="L205" t="str" cm="1">
        <f t="array" ref="L205">ExtrairHiperlink(E205)</f>
        <v>https://intra.senado.leg.br/sigad/visualizador/PdfJs/web/viewer.html?cod_protocolo=4443155&amp;cod_pagina=&amp;cod_usuario=76880&amp;cod_orgao=9694&amp;token=MLKKJNAW7X1653X</v>
      </c>
    </row>
    <row r="206" spans="1:12" ht="60" x14ac:dyDescent="0.25">
      <c r="A206" s="70" t="s">
        <v>47</v>
      </c>
      <c r="B206" s="105">
        <v>45866</v>
      </c>
      <c r="C206" s="107" t="s">
        <v>432</v>
      </c>
      <c r="D206" s="132" t="s">
        <v>433</v>
      </c>
      <c r="E206" s="68" t="s">
        <v>434</v>
      </c>
      <c r="F206" s="107" t="s">
        <v>435</v>
      </c>
      <c r="G206" s="299" t="s">
        <v>436</v>
      </c>
      <c r="H206" s="92"/>
      <c r="I206" s="185" t="s">
        <v>437</v>
      </c>
      <c r="J206" s="91" t="str" cm="1">
        <f t="array" ref="J206">NomeDaCor(A206)</f>
        <v>Azul</v>
      </c>
      <c r="K206" s="450" t="str" cm="1">
        <f t="array" ref="K206">ExtrairHiperlink(D206)</f>
        <v>https://intra.senado.leg.br/sigad/novo/protocolo/impressao.asp?cod_protocolo=4430836&amp;area=processo</v>
      </c>
      <c r="L206" t="str" cm="1">
        <f t="array" ref="L206">ExtrairHiperlink(E206)</f>
        <v>https://intra.senado.leg.br/sigad/visualizador/PdfJs/web/viewer.html?cod_protocolo=4437214&amp;cod_pagina=&amp;cod_usuario=76880&amp;cod_orgao=9694&amp;token=UBBJUSJ6F32VSP6</v>
      </c>
    </row>
    <row r="207" spans="1:12" ht="81" x14ac:dyDescent="0.25">
      <c r="A207" s="71" t="s">
        <v>54</v>
      </c>
      <c r="B207" s="106"/>
      <c r="C207" s="109"/>
      <c r="D207" s="146"/>
      <c r="E207" s="56" t="s">
        <v>46</v>
      </c>
      <c r="F207" s="108"/>
      <c r="G207" s="300"/>
      <c r="H207" s="93"/>
      <c r="I207" s="186"/>
      <c r="J207" s="91" t="str" cm="1">
        <f t="array" ref="J207">NomeDaCor(A207)</f>
        <v>Vermelho</v>
      </c>
      <c r="K207" s="450" t="str" cm="1">
        <f t="array" ref="K207">ExtrairHiperlink(D207)</f>
        <v>https://intra.senado.leg.br/sigad/novo/protocolo/impressao.asp?cod_protocolo=4430836&amp;area=processo</v>
      </c>
      <c r="L207" t="str" cm="1">
        <f t="array" ref="L207">ExtrairHiperlink(E207)</f>
        <v>https://intra.senado.leg.br/sigad/visualizador/PdfJs/web/viewer.html?cod_protocolo=4437214&amp;cod_pagina=&amp;cod_usuario=76880&amp;cod_orgao=9694&amp;token=UBBJUSJ6F32VSP6</v>
      </c>
    </row>
    <row r="208" spans="1:12" ht="60" x14ac:dyDescent="0.25">
      <c r="A208" s="103"/>
      <c r="B208" s="105">
        <v>45693</v>
      </c>
      <c r="C208" s="107" t="s">
        <v>63</v>
      </c>
      <c r="D208" s="132" t="s">
        <v>38</v>
      </c>
      <c r="E208" s="9" t="s">
        <v>39</v>
      </c>
      <c r="F208" s="107" t="s">
        <v>438</v>
      </c>
      <c r="G208" s="299" t="s">
        <v>439</v>
      </c>
      <c r="H208" s="92"/>
      <c r="I208" s="185" t="s">
        <v>440</v>
      </c>
      <c r="J208" s="91" t="str" cm="1">
        <f t="array" ref="J208">NomeDaCor(A208)</f>
        <v>Laranja</v>
      </c>
      <c r="K208" s="450" t="str" cm="1">
        <f t="array" ref="K208">ExtrairHiperlink(D208)</f>
        <v>https://intra.senado.leg.br/sigad/novo/protocolo/impressao.asp?cod_protocolo=4227195</v>
      </c>
      <c r="L208" t="str" cm="1">
        <f t="array" ref="L208">ExtrairHiperlink(E208)</f>
        <v>https://intra.senado.leg.br/sigad/novo/protocolo/impressao.asp?area=processo&amp;cod_protocolo=4236444&amp;cod_frente_verso=&amp;cod_juntada=&amp;txt_funcao=</v>
      </c>
    </row>
    <row r="209" spans="1:12" ht="81" x14ac:dyDescent="0.25">
      <c r="A209" s="104"/>
      <c r="B209" s="106"/>
      <c r="C209" s="109"/>
      <c r="D209" s="146"/>
      <c r="E209" s="7" t="s">
        <v>441</v>
      </c>
      <c r="F209" s="108"/>
      <c r="G209" s="300"/>
      <c r="H209" s="93"/>
      <c r="I209" s="186"/>
      <c r="J209" s="91" t="str" cm="1">
        <f t="array" ref="J209">NomeDaCor(A209)</f>
        <v>Laranja</v>
      </c>
      <c r="K209" s="450" t="str" cm="1">
        <f t="array" ref="K209">ExtrairHiperlink(D209)</f>
        <v>https://intra.senado.leg.br/sigad/novo/protocolo/impressao.asp?cod_protocolo=4227195</v>
      </c>
      <c r="L209" t="str" cm="1">
        <f t="array" ref="L209">ExtrairHiperlink(E209)</f>
        <v>https://intra.senado.leg.br/sigad/novo/protocolo/impressao.asp?area=processo&amp;cod_protocolo=4236444&amp;cod_frente_verso=&amp;cod_juntada=&amp;txt_funcao=</v>
      </c>
    </row>
    <row r="210" spans="1:12" ht="60" x14ac:dyDescent="0.25">
      <c r="A210" s="140"/>
      <c r="B210" s="105">
        <v>44753</v>
      </c>
      <c r="C210" s="145" t="s">
        <v>42</v>
      </c>
      <c r="D210" s="273" t="s">
        <v>442</v>
      </c>
      <c r="E210" s="72" t="s">
        <v>443</v>
      </c>
      <c r="F210" s="107" t="s">
        <v>444</v>
      </c>
      <c r="G210" s="135" t="s">
        <v>445</v>
      </c>
      <c r="H210" s="92"/>
      <c r="I210" s="197" t="s">
        <v>440</v>
      </c>
      <c r="J210" s="91" t="str" cm="1">
        <f t="array" ref="J210">NomeDaCor(A210)</f>
        <v>Verde</v>
      </c>
      <c r="K210" s="450" t="str" cm="1">
        <f t="array" ref="K210">ExtrairHiperlink(D210)</f>
        <v>https://intra.senado.leg.br/sigad/novo/protocolo/impressao.asp?cod_protocolo=4415442&amp;area=processo</v>
      </c>
      <c r="L210" t="str" cm="1">
        <f t="array" ref="L210">ExtrairHiperlink(E210)</f>
        <v>https://intra.senado.leg.br/sigad/novo/protocolo/impressao.asp?area=processo&amp;cod_protocolo=4415708&amp;cod_frente_verso=&amp;cod_juntada=&amp;txt_funcao=</v>
      </c>
    </row>
    <row r="211" spans="1:12" ht="81" x14ac:dyDescent="0.25">
      <c r="A211" s="228"/>
      <c r="B211" s="106"/>
      <c r="C211" s="109"/>
      <c r="D211" s="273"/>
      <c r="E211" s="56" t="s">
        <v>46</v>
      </c>
      <c r="F211" s="109"/>
      <c r="G211" s="286"/>
      <c r="H211" s="153"/>
      <c r="I211" s="198"/>
      <c r="J211" s="91" t="str" cm="1">
        <f t="array" ref="J211">NomeDaCor(A211)</f>
        <v>Verde</v>
      </c>
      <c r="K211" s="450" t="str" cm="1">
        <f t="array" ref="K211">ExtrairHiperlink(D211)</f>
        <v>https://intra.senado.leg.br/sigad/novo/protocolo/impressao.asp?cod_protocolo=4415442&amp;area=processo</v>
      </c>
      <c r="L211" t="str" cm="1">
        <f t="array" ref="L211">ExtrairHiperlink(E211)</f>
        <v>https://intra.senado.leg.br/sigad/novo/protocolo/impressao.asp?area=processo&amp;cod_protocolo=4415708&amp;cod_frente_verso=&amp;cod_juntada=&amp;txt_funcao=</v>
      </c>
    </row>
    <row r="212" spans="1:12" ht="60" x14ac:dyDescent="0.25">
      <c r="A212" s="228"/>
      <c r="B212" s="105">
        <v>45652</v>
      </c>
      <c r="C212" s="107" t="s">
        <v>26</v>
      </c>
      <c r="D212" s="100" t="s">
        <v>27</v>
      </c>
      <c r="E212" s="2" t="s">
        <v>28</v>
      </c>
      <c r="F212" s="107" t="s">
        <v>444</v>
      </c>
      <c r="G212" s="110">
        <v>45895</v>
      </c>
      <c r="H212" s="153"/>
      <c r="I212" s="198"/>
      <c r="J212" s="91" t="str" cm="1">
        <f t="array" ref="J212">NomeDaCor(A212)</f>
        <v>Verde</v>
      </c>
      <c r="K212" s="450" t="str" cm="1">
        <f t="array" ref="K212">ExtrairHiperlink(D212)</f>
        <v>https://intra.senado.leg.br/sigad/novo/protocolo/impressao.asp?cod_protocolo=4184491&amp;area=processo</v>
      </c>
      <c r="L212" t="str" cm="1">
        <f t="array" ref="L212">ExtrairHiperlink(E212)</f>
        <v>https://intra.senado.leg.br/sigad/novo/protocolo/impressao.asp?area=processo&amp;cod_protocolo=4223434&amp;cod_frente_verso=&amp;cod_juntada=&amp;txt_funcao=</v>
      </c>
    </row>
    <row r="213" spans="1:12" ht="81" x14ac:dyDescent="0.25">
      <c r="A213" s="141"/>
      <c r="B213" s="106"/>
      <c r="C213" s="108"/>
      <c r="D213" s="132"/>
      <c r="E213" s="56" t="s">
        <v>46</v>
      </c>
      <c r="F213" s="109"/>
      <c r="G213" s="111"/>
      <c r="H213" s="93"/>
      <c r="I213" s="199"/>
      <c r="J213" s="91" t="str" cm="1">
        <f t="array" ref="J213">NomeDaCor(A213)</f>
        <v>Verde</v>
      </c>
      <c r="K213" s="450" t="str" cm="1">
        <f t="array" ref="K213">ExtrairHiperlink(D213)</f>
        <v>https://intra.senado.leg.br/sigad/novo/protocolo/impressao.asp?cod_protocolo=4184491&amp;area=processo</v>
      </c>
      <c r="L213" t="str" cm="1">
        <f t="array" ref="L213">ExtrairHiperlink(E213)</f>
        <v>https://intra.senado.leg.br/sigad/novo/protocolo/impressao.asp?area=processo&amp;cod_protocolo=4223434&amp;cod_frente_verso=&amp;cod_juntada=&amp;txt_funcao=</v>
      </c>
    </row>
    <row r="214" spans="1:12" ht="60" x14ac:dyDescent="0.25">
      <c r="A214" s="290"/>
      <c r="B214" s="291">
        <v>45852</v>
      </c>
      <c r="C214" s="292" t="s">
        <v>446</v>
      </c>
      <c r="D214" s="294" t="s">
        <v>447</v>
      </c>
      <c r="E214" s="46" t="s">
        <v>448</v>
      </c>
      <c r="F214" s="295" t="s">
        <v>449</v>
      </c>
      <c r="G214" s="297" t="s">
        <v>450</v>
      </c>
      <c r="H214" s="287"/>
      <c r="I214" s="288"/>
      <c r="J214" s="91" t="str" cm="1">
        <f t="array" ref="J214">NomeDaCor(A214)</f>
        <v>Preto</v>
      </c>
      <c r="K214" s="450" t="str" cm="1">
        <f t="array" ref="K214">ExtrairHiperlink(D214)</f>
        <v>https://intra.senado.leg.br/sigad/novo/protocolo/impressao.asp?cod_protocolo=4421489&amp;area=processo</v>
      </c>
      <c r="L214" t="str" cm="1">
        <f t="array" ref="L214">ExtrairHiperlink(E214)</f>
        <v>https://intra.senado.leg.br/sigad/novo/protocolo/impressao.asp?area=processo&amp;cod_protocolo=4421604&amp;cod_frente_verso=&amp;cod_juntada=&amp;txt_funcao=</v>
      </c>
    </row>
    <row r="215" spans="1:12" ht="81" x14ac:dyDescent="0.25">
      <c r="A215" s="290"/>
      <c r="B215" s="291"/>
      <c r="C215" s="293"/>
      <c r="D215" s="294"/>
      <c r="E215" s="69" t="s">
        <v>25</v>
      </c>
      <c r="F215" s="296"/>
      <c r="G215" s="298"/>
      <c r="H215" s="287"/>
      <c r="I215" s="288"/>
      <c r="J215" s="91" t="str" cm="1">
        <f t="array" ref="J215">NomeDaCor(A215)</f>
        <v>Preto</v>
      </c>
      <c r="K215" s="450" t="str" cm="1">
        <f t="array" ref="K215">ExtrairHiperlink(D215)</f>
        <v>https://intra.senado.leg.br/sigad/novo/protocolo/impressao.asp?cod_protocolo=4421489&amp;area=processo</v>
      </c>
      <c r="L215" t="str" cm="1">
        <f t="array" ref="L215">ExtrairHiperlink(E215)</f>
        <v>https://intra.senado.leg.br/sigad/novo/protocolo/impressao.asp?area=processo&amp;cod_protocolo=4421604&amp;cod_frente_verso=&amp;cod_juntada=&amp;txt_funcao=</v>
      </c>
    </row>
    <row r="216" spans="1:12" ht="60" x14ac:dyDescent="0.25">
      <c r="A216" s="289"/>
      <c r="B216" s="105">
        <v>45859</v>
      </c>
      <c r="C216" s="145" t="s">
        <v>400</v>
      </c>
      <c r="D216" s="133" t="s">
        <v>401</v>
      </c>
      <c r="E216" s="2" t="s">
        <v>402</v>
      </c>
      <c r="F216" s="107" t="s">
        <v>451</v>
      </c>
      <c r="G216" s="147" t="s">
        <v>452</v>
      </c>
      <c r="H216" s="92"/>
      <c r="I216" s="185" t="s">
        <v>453</v>
      </c>
      <c r="J216" s="91" t="str" cm="1">
        <f t="array" ref="J216">NomeDaCor(A216)</f>
        <v>Laranja</v>
      </c>
      <c r="K216" s="450" t="str" cm="1">
        <f t="array" ref="K216">ExtrairHiperlink(D216)</f>
        <v>https://intra.senado.leg.br/sigad/visualizador/PdfJs/web/viewer.html?cod_protocolo=4424941&amp;cod_pagina=&amp;cod_usuario=82996&amp;cod_orgao=9694&amp;token=11B2QYPNV1CIBX6</v>
      </c>
      <c r="L216" t="str" cm="1">
        <f t="array" ref="L216">ExtrairHiperlink(E216)</f>
        <v>https://intra.senado.leg.br/sigad/visualizador/PdfJs/web/viewer.html?cod_protocolo=4434850&amp;cod_pagina=&amp;cod_usuario=76880&amp;cod_orgao=9694&amp;token=0EDF2SUAW7023EF</v>
      </c>
    </row>
    <row r="217" spans="1:12" ht="81" x14ac:dyDescent="0.25">
      <c r="A217" s="289"/>
      <c r="B217" s="106"/>
      <c r="C217" s="109"/>
      <c r="D217" s="146"/>
      <c r="E217" s="56" t="s">
        <v>46</v>
      </c>
      <c r="F217" s="108"/>
      <c r="G217" s="169"/>
      <c r="H217" s="153"/>
      <c r="I217" s="193"/>
      <c r="J217" s="91" t="str" cm="1">
        <f t="array" ref="J217">NomeDaCor(A217)</f>
        <v>Laranja</v>
      </c>
      <c r="K217" s="450" t="str" cm="1">
        <f t="array" ref="K217">ExtrairHiperlink(D217)</f>
        <v>https://intra.senado.leg.br/sigad/visualizador/PdfJs/web/viewer.html?cod_protocolo=4424941&amp;cod_pagina=&amp;cod_usuario=82996&amp;cod_orgao=9694&amp;token=11B2QYPNV1CIBX6</v>
      </c>
      <c r="L217" t="str" cm="1">
        <f t="array" ref="L217">ExtrairHiperlink(E217)</f>
        <v>https://intra.senado.leg.br/sigad/visualizador/PdfJs/web/viewer.html?cod_protocolo=4434850&amp;cod_pagina=&amp;cod_usuario=76880&amp;cod_orgao=9694&amp;token=0EDF2SUAW7023EF</v>
      </c>
    </row>
    <row r="218" spans="1:12" ht="60" x14ac:dyDescent="0.25">
      <c r="A218" s="289"/>
      <c r="B218" s="105">
        <v>45875</v>
      </c>
      <c r="C218" s="107" t="s">
        <v>203</v>
      </c>
      <c r="D218" s="132" t="s">
        <v>454</v>
      </c>
      <c r="E218" s="2" t="s">
        <v>455</v>
      </c>
      <c r="F218" s="107" t="s">
        <v>456</v>
      </c>
      <c r="G218" s="169"/>
      <c r="H218" s="153"/>
      <c r="I218" s="193"/>
      <c r="J218" s="91" t="str" cm="1">
        <f t="array" ref="J218">NomeDaCor(A218)</f>
        <v>Laranja</v>
      </c>
      <c r="K218" s="450" t="str" cm="1">
        <f t="array" ref="K218">ExtrairHiperlink(D218)</f>
        <v>https://intra.senado.leg.br/sigad/novo/protocolo/impressao.asp?cod_protocolo=4441426&amp;area=processo</v>
      </c>
      <c r="L218" t="str" cm="1">
        <f t="array" ref="L218">ExtrairHiperlink(E218)</f>
        <v>https://intra.senado.leg.br/sigad/novo/protocolo/impressao.asp?area=processo&amp;cod_protocolo=4443609&amp;cod_frente_verso=&amp;cod_juntada=&amp;txt_funcao=</v>
      </c>
    </row>
    <row r="219" spans="1:12" ht="81" x14ac:dyDescent="0.25">
      <c r="A219" s="289"/>
      <c r="B219" s="106"/>
      <c r="C219" s="109"/>
      <c r="D219" s="146"/>
      <c r="E219" s="7" t="s">
        <v>441</v>
      </c>
      <c r="F219" s="108"/>
      <c r="G219" s="171"/>
      <c r="H219" s="93"/>
      <c r="I219" s="186"/>
      <c r="J219" s="91" t="str" cm="1">
        <f t="array" ref="J219">NomeDaCor(A219)</f>
        <v>Laranja</v>
      </c>
      <c r="K219" s="450" t="str" cm="1">
        <f t="array" ref="K219">ExtrairHiperlink(D219)</f>
        <v>https://intra.senado.leg.br/sigad/novo/protocolo/impressao.asp?cod_protocolo=4441426&amp;area=processo</v>
      </c>
      <c r="L219" t="str" cm="1">
        <f t="array" ref="L219">ExtrairHiperlink(E219)</f>
        <v>https://intra.senado.leg.br/sigad/novo/protocolo/impressao.asp?area=processo&amp;cod_protocolo=4443609&amp;cod_frente_verso=&amp;cod_juntada=&amp;txt_funcao=</v>
      </c>
    </row>
    <row r="220" spans="1:12" ht="60" x14ac:dyDescent="0.25">
      <c r="A220" s="64" t="s">
        <v>47</v>
      </c>
      <c r="B220" s="105">
        <v>45692</v>
      </c>
      <c r="C220" s="107" t="s">
        <v>55</v>
      </c>
      <c r="D220" s="132" t="s">
        <v>137</v>
      </c>
      <c r="E220" s="2" t="s">
        <v>138</v>
      </c>
      <c r="F220" s="107" t="s">
        <v>457</v>
      </c>
      <c r="G220" s="147" t="s">
        <v>458</v>
      </c>
      <c r="H220" s="92"/>
      <c r="I220" s="185" t="s">
        <v>453</v>
      </c>
      <c r="J220" s="91" t="str" cm="1">
        <f t="array" ref="J220">NomeDaCor(A220)</f>
        <v>Vermelho</v>
      </c>
      <c r="K220" s="450" t="str" cm="1">
        <f t="array" ref="K220">ExtrairHiperlink(D220)</f>
        <v>https://intra.senado.leg.br/sigad/novo/protocolo/impressao.asp?cod_protocolo=4228774&amp;area=processo</v>
      </c>
      <c r="L220" t="str" cm="1">
        <f t="array" ref="L220">ExtrairHiperlink(E220)</f>
        <v>https://intra.senado.leg.br/sigad/novo/protocolo/impressao.asp?cod_protocolo=4241698&amp;area=documento</v>
      </c>
    </row>
    <row r="221" spans="1:12" ht="81" x14ac:dyDescent="0.25">
      <c r="A221" s="19" t="s">
        <v>54</v>
      </c>
      <c r="B221" s="106"/>
      <c r="C221" s="109"/>
      <c r="D221" s="146"/>
      <c r="E221" s="7" t="s">
        <v>441</v>
      </c>
      <c r="F221" s="109"/>
      <c r="G221" s="111"/>
      <c r="H221" s="93"/>
      <c r="I221" s="186"/>
      <c r="J221" s="91" t="str" cm="1">
        <f t="array" ref="J221">NomeDaCor(A221)</f>
        <v>Azul</v>
      </c>
      <c r="K221" s="450" t="str" cm="1">
        <f t="array" ref="K221">ExtrairHiperlink(D221)</f>
        <v>https://intra.senado.leg.br/sigad/novo/protocolo/impressao.asp?cod_protocolo=4228774&amp;area=processo</v>
      </c>
      <c r="L221" t="str" cm="1">
        <f t="array" ref="L221">ExtrairHiperlink(E221)</f>
        <v>https://intra.senado.leg.br/sigad/novo/protocolo/impressao.asp?cod_protocolo=4241698&amp;area=documento</v>
      </c>
    </row>
    <row r="222" spans="1:12" ht="60" x14ac:dyDescent="0.25">
      <c r="A222" s="282"/>
      <c r="B222" s="105">
        <v>45870</v>
      </c>
      <c r="C222" s="107" t="s">
        <v>459</v>
      </c>
      <c r="D222" s="132" t="s">
        <v>460</v>
      </c>
      <c r="E222" s="9" t="s">
        <v>461</v>
      </c>
      <c r="F222" s="107" t="s">
        <v>462</v>
      </c>
      <c r="G222" s="110">
        <v>45900</v>
      </c>
      <c r="H222" s="92"/>
      <c r="I222" s="185" t="s">
        <v>453</v>
      </c>
      <c r="J222" s="91" t="str" cm="1">
        <f t="array" ref="J222">NomeDaCor(A222)</f>
        <v>Verde</v>
      </c>
      <c r="K222" s="450" t="str" cm="1">
        <f t="array" ref="K222">ExtrairHiperlink(D222)</f>
        <v>https://intra.senado.leg.br/sigad/novo/protocolo/impressao.asp?cod_protocolo=4436786&amp;area=processo</v>
      </c>
      <c r="L222" t="str" cm="1">
        <f t="array" ref="L222">ExtrairHiperlink(E222)</f>
        <v>https://intra.senado.leg.br/sigad/novo/protocolo/impressao.asp?area=processo&amp;cod_protocolo=4443616&amp;cod_frente_verso=&amp;cod_juntada=&amp;txt_funcao=</v>
      </c>
    </row>
    <row r="223" spans="1:12" ht="81" x14ac:dyDescent="0.25">
      <c r="A223" s="283"/>
      <c r="B223" s="106"/>
      <c r="C223" s="109"/>
      <c r="D223" s="146"/>
      <c r="E223" s="10" t="s">
        <v>46</v>
      </c>
      <c r="F223" s="142"/>
      <c r="G223" s="285"/>
      <c r="H223" s="153"/>
      <c r="I223" s="193"/>
      <c r="J223" s="91" t="str" cm="1">
        <f t="array" ref="J223">NomeDaCor(A223)</f>
        <v>Verde</v>
      </c>
      <c r="K223" s="450" t="str" cm="1">
        <f t="array" ref="K223">ExtrairHiperlink(D223)</f>
        <v>https://intra.senado.leg.br/sigad/novo/protocolo/impressao.asp?cod_protocolo=4436786&amp;area=processo</v>
      </c>
      <c r="L223" t="str" cm="1">
        <f t="array" ref="L223">ExtrairHiperlink(E223)</f>
        <v>https://intra.senado.leg.br/sigad/novo/protocolo/impressao.asp?area=processo&amp;cod_protocolo=4443616&amp;cod_frente_verso=&amp;cod_juntada=&amp;txt_funcao=</v>
      </c>
    </row>
    <row r="224" spans="1:12" ht="60" x14ac:dyDescent="0.25">
      <c r="A224" s="283"/>
      <c r="B224" s="105">
        <v>45881</v>
      </c>
      <c r="C224" s="107" t="s">
        <v>463</v>
      </c>
      <c r="D224" s="132" t="s">
        <v>464</v>
      </c>
      <c r="E224" s="2" t="s">
        <v>465</v>
      </c>
      <c r="F224" s="142"/>
      <c r="G224" s="285"/>
      <c r="H224" s="153"/>
      <c r="I224" s="193"/>
      <c r="J224" s="91" t="str" cm="1">
        <f t="array" ref="J224">NomeDaCor(A224)</f>
        <v>Verde</v>
      </c>
      <c r="K224" s="450" t="str" cm="1">
        <f t="array" ref="K224">ExtrairHiperlink(D224)</f>
        <v>https://intra.senado.leg.br/sigad/novo/protocolo/impressao.asp?cod_protocolo=4448321&amp;area=processo</v>
      </c>
      <c r="L224" t="str" cm="1">
        <f t="array" ref="L224">ExtrairHiperlink(E224)</f>
        <v>https://intra.senado.leg.br/sigad/novo/protocolo/impressao.asp?cod_protocolo=4454933&amp;area=documento</v>
      </c>
    </row>
    <row r="225" spans="1:12" ht="81" x14ac:dyDescent="0.25">
      <c r="A225" s="284"/>
      <c r="B225" s="106"/>
      <c r="C225" s="109"/>
      <c r="D225" s="146"/>
      <c r="E225" s="10" t="s">
        <v>46</v>
      </c>
      <c r="F225" s="109"/>
      <c r="G225" s="286"/>
      <c r="H225" s="93"/>
      <c r="I225" s="186"/>
      <c r="J225" s="91" t="str" cm="1">
        <f t="array" ref="J225">NomeDaCor(A225)</f>
        <v>Verde</v>
      </c>
      <c r="K225" s="450" t="str" cm="1">
        <f t="array" ref="K225">ExtrairHiperlink(D225)</f>
        <v>https://intra.senado.leg.br/sigad/novo/protocolo/impressao.asp?cod_protocolo=4448321&amp;area=processo</v>
      </c>
      <c r="L225" t="str" cm="1">
        <f t="array" ref="L225">ExtrairHiperlink(E225)</f>
        <v>https://intra.senado.leg.br/sigad/novo/protocolo/impressao.asp?cod_protocolo=4454933&amp;area=documento</v>
      </c>
    </row>
    <row r="226" spans="1:12" ht="60" x14ac:dyDescent="0.25">
      <c r="A226" s="114" t="s">
        <v>18</v>
      </c>
      <c r="B226" s="116">
        <v>45887</v>
      </c>
      <c r="C226" s="118" t="s">
        <v>466</v>
      </c>
      <c r="D226" s="268" t="s">
        <v>467</v>
      </c>
      <c r="E226" s="22" t="s">
        <v>468</v>
      </c>
      <c r="F226" s="156" t="s">
        <v>469</v>
      </c>
      <c r="G226" s="181" t="s">
        <v>470</v>
      </c>
      <c r="H226" s="120"/>
      <c r="I226" s="183" t="s">
        <v>24</v>
      </c>
      <c r="J226" s="91" t="str" cm="1">
        <f t="array" ref="J226">NomeDaCor(A226)</f>
        <v>Preto</v>
      </c>
      <c r="K226" s="450" t="str" cm="1">
        <f t="array" ref="K226">ExtrairHiperlink(D226)</f>
        <v>https://intra.senado.leg.br/sigad/novo/protocolo/impressao.asp?cod_protocolo=4454723&amp;area=processo</v>
      </c>
      <c r="L226" t="str" cm="1">
        <f t="array" ref="L226">ExtrairHiperlink(E226)</f>
        <v>https://intra.senado.leg.br/sigad/novo/protocolo/impressao.asp?area=processo&amp;cod_protocolo=4470066&amp;cod_frente_verso=&amp;cod_juntada=&amp;txt_funcao=</v>
      </c>
    </row>
    <row r="227" spans="1:12" ht="81" x14ac:dyDescent="0.25">
      <c r="A227" s="175"/>
      <c r="B227" s="176"/>
      <c r="C227" s="177"/>
      <c r="D227" s="268"/>
      <c r="E227" s="24" t="s">
        <v>441</v>
      </c>
      <c r="F227" s="119"/>
      <c r="G227" s="127"/>
      <c r="H227" s="182"/>
      <c r="I227" s="130"/>
      <c r="J227" s="91" t="str" cm="1">
        <f t="array" ref="J227">NomeDaCor(A227)</f>
        <v>Preto</v>
      </c>
      <c r="K227" s="450" t="str" cm="1">
        <f t="array" ref="K227">ExtrairHiperlink(D227)</f>
        <v>https://intra.senado.leg.br/sigad/novo/protocolo/impressao.asp?cod_protocolo=4454723&amp;area=processo</v>
      </c>
      <c r="L227" t="str" cm="1">
        <f t="array" ref="L227">ExtrairHiperlink(E227)</f>
        <v>https://intra.senado.leg.br/sigad/novo/protocolo/impressao.asp?area=processo&amp;cod_protocolo=4470066&amp;cod_frente_verso=&amp;cod_juntada=&amp;txt_funcao=</v>
      </c>
    </row>
    <row r="228" spans="1:12" ht="60" x14ac:dyDescent="0.25">
      <c r="A228" s="279"/>
      <c r="B228" s="105">
        <v>45728</v>
      </c>
      <c r="C228" s="145" t="s">
        <v>114</v>
      </c>
      <c r="D228" s="132" t="s">
        <v>115</v>
      </c>
      <c r="E228" s="2" t="s">
        <v>116</v>
      </c>
      <c r="F228" s="107" t="s">
        <v>471</v>
      </c>
      <c r="G228" s="147" t="s">
        <v>472</v>
      </c>
      <c r="H228" s="92"/>
      <c r="I228" s="197" t="s">
        <v>453</v>
      </c>
      <c r="J228" s="91" t="str" cm="1">
        <f t="array" ref="J228">NomeDaCor(A228)</f>
        <v>Roxo</v>
      </c>
      <c r="K228" s="450" t="str" cm="1">
        <f t="array" ref="K228">ExtrairHiperlink(D228)</f>
        <v>https://intra.senado.leg.br/sigad/novo/protocolo/impressao.asp?cod_protocolo=4269985&amp;area=processo</v>
      </c>
      <c r="L228" t="str" cm="1">
        <f t="array" ref="L228">ExtrairHiperlink(E228)</f>
        <v>https://intra.senado.leg.br/sigad/novo/protocolo/impressao.asp?area=processo&amp;cod_protocolo=4269913&amp;cod_frente_verso=&amp;cod_juntada=&amp;txt_funcao=</v>
      </c>
    </row>
    <row r="229" spans="1:12" ht="81" x14ac:dyDescent="0.25">
      <c r="A229" s="280"/>
      <c r="B229" s="106"/>
      <c r="C229" s="109"/>
      <c r="D229" s="146"/>
      <c r="E229" s="7" t="s">
        <v>441</v>
      </c>
      <c r="F229" s="109"/>
      <c r="G229" s="169"/>
      <c r="H229" s="153"/>
      <c r="I229" s="198"/>
      <c r="J229" s="91" t="str" cm="1">
        <f t="array" ref="J229">NomeDaCor(A229)</f>
        <v>Roxo</v>
      </c>
      <c r="K229" s="450" t="str" cm="1">
        <f t="array" ref="K229">ExtrairHiperlink(D229)</f>
        <v>https://intra.senado.leg.br/sigad/novo/protocolo/impressao.asp?cod_protocolo=4269985&amp;area=processo</v>
      </c>
      <c r="L229" t="str" cm="1">
        <f t="array" ref="L229">ExtrairHiperlink(E229)</f>
        <v>https://intra.senado.leg.br/sigad/novo/protocolo/impressao.asp?area=processo&amp;cod_protocolo=4269913&amp;cod_frente_verso=&amp;cod_juntada=&amp;txt_funcao=</v>
      </c>
    </row>
    <row r="230" spans="1:12" ht="60" x14ac:dyDescent="0.25">
      <c r="A230" s="280"/>
      <c r="B230" s="105">
        <v>45834</v>
      </c>
      <c r="C230" s="107" t="s">
        <v>97</v>
      </c>
      <c r="D230" s="132" t="s">
        <v>473</v>
      </c>
      <c r="E230" s="63" t="s">
        <v>474</v>
      </c>
      <c r="F230" s="107" t="s">
        <v>475</v>
      </c>
      <c r="G230" s="169"/>
      <c r="H230" s="153"/>
      <c r="I230" s="198"/>
      <c r="J230" s="91" t="str" cm="1">
        <f t="array" ref="J230">NomeDaCor(A230)</f>
        <v>Roxo</v>
      </c>
      <c r="K230" s="450" t="str" cm="1">
        <f t="array" ref="K230">ExtrairHiperlink(D230)</f>
        <v>https://intra.senado.leg.br/sigad/novo/protocolo/impressao.asp?cod_protocolo=4399267&amp;area=processo</v>
      </c>
      <c r="L230" t="str" cm="1">
        <f t="array" ref="L230">ExtrairHiperlink(E230)</f>
        <v>https://intra.senado.leg.br/sigad/novo/protocolo/impressao.asp?area=processo&amp;cod_protocolo=4404006&amp;cod_frente_verso=&amp;cod_juntada=&amp;txt_funcao=</v>
      </c>
    </row>
    <row r="231" spans="1:12" ht="81" x14ac:dyDescent="0.25">
      <c r="A231" s="280"/>
      <c r="B231" s="106"/>
      <c r="C231" s="109"/>
      <c r="D231" s="146"/>
      <c r="E231" s="7" t="s">
        <v>441</v>
      </c>
      <c r="F231" s="109"/>
      <c r="G231" s="169"/>
      <c r="H231" s="153"/>
      <c r="I231" s="198"/>
      <c r="J231" s="91" t="str" cm="1">
        <f t="array" ref="J231">NomeDaCor(A231)</f>
        <v>Roxo</v>
      </c>
      <c r="K231" s="450" t="str" cm="1">
        <f t="array" ref="K231">ExtrairHiperlink(D231)</f>
        <v>https://intra.senado.leg.br/sigad/novo/protocolo/impressao.asp?cod_protocolo=4399267&amp;area=processo</v>
      </c>
      <c r="L231" t="str" cm="1">
        <f t="array" ref="L231">ExtrairHiperlink(E231)</f>
        <v>https://intra.senado.leg.br/sigad/novo/protocolo/impressao.asp?area=processo&amp;cod_protocolo=4404006&amp;cod_frente_verso=&amp;cod_juntada=&amp;txt_funcao=</v>
      </c>
    </row>
    <row r="232" spans="1:12" ht="60" x14ac:dyDescent="0.25">
      <c r="A232" s="280"/>
      <c r="B232" s="105">
        <v>45895</v>
      </c>
      <c r="C232" s="107" t="s">
        <v>476</v>
      </c>
      <c r="D232" s="132" t="s">
        <v>477</v>
      </c>
      <c r="E232" s="2" t="s">
        <v>478</v>
      </c>
      <c r="F232" s="107" t="s">
        <v>479</v>
      </c>
      <c r="G232" s="169"/>
      <c r="H232" s="153"/>
      <c r="I232" s="198"/>
      <c r="J232" s="91" t="str" cm="1">
        <f t="array" ref="J232">NomeDaCor(A232)</f>
        <v>Roxo</v>
      </c>
      <c r="K232" s="450" t="str" cm="1">
        <f t="array" ref="K232">ExtrairHiperlink(D232)</f>
        <v>https://intra.senado.leg.br/sigad/novo/protocolo/impressao.asp?cod_protocolo=4465131&amp;area=processo</v>
      </c>
      <c r="L232" t="str" cm="1">
        <f t="array" ref="L232">ExtrairHiperlink(E232)</f>
        <v>https://intra.senado.leg.br/sigad/novo/protocolo/impressao.asp?area=processo&amp;cod_protocolo=4469345&amp;cod_frente_verso=&amp;cod_juntada=&amp;txt_funcao=</v>
      </c>
    </row>
    <row r="233" spans="1:12" ht="81" x14ac:dyDescent="0.25">
      <c r="A233" s="281"/>
      <c r="B233" s="106"/>
      <c r="C233" s="109"/>
      <c r="D233" s="146"/>
      <c r="E233" s="10" t="s">
        <v>46</v>
      </c>
      <c r="F233" s="109"/>
      <c r="G233" s="171"/>
      <c r="H233" s="93"/>
      <c r="I233" s="199"/>
      <c r="J233" s="91" t="str" cm="1">
        <f t="array" ref="J233">NomeDaCor(A233)</f>
        <v>Roxo</v>
      </c>
      <c r="K233" s="450" t="str" cm="1">
        <f t="array" ref="K233">ExtrairHiperlink(D233)</f>
        <v>https://intra.senado.leg.br/sigad/novo/protocolo/impressao.asp?cod_protocolo=4465131&amp;area=processo</v>
      </c>
      <c r="L233" t="str" cm="1">
        <f t="array" ref="L233">ExtrairHiperlink(E233)</f>
        <v>https://intra.senado.leg.br/sigad/novo/protocolo/impressao.asp?area=processo&amp;cod_protocolo=4469345&amp;cod_frente_verso=&amp;cod_juntada=&amp;txt_funcao=</v>
      </c>
    </row>
    <row r="234" spans="1:12" ht="60" x14ac:dyDescent="0.25">
      <c r="A234" s="269"/>
      <c r="B234" s="105">
        <v>45728</v>
      </c>
      <c r="C234" s="145" t="s">
        <v>114</v>
      </c>
      <c r="D234" s="132" t="s">
        <v>115</v>
      </c>
      <c r="E234" s="2" t="s">
        <v>116</v>
      </c>
      <c r="F234" s="107" t="s">
        <v>480</v>
      </c>
      <c r="G234" s="147" t="s">
        <v>481</v>
      </c>
      <c r="H234" s="92"/>
      <c r="I234" s="185" t="s">
        <v>453</v>
      </c>
      <c r="J234" s="91" t="str" cm="1">
        <f t="array" ref="J234">NomeDaCor(A234)</f>
        <v>Amarelo</v>
      </c>
      <c r="K234" s="450" t="str" cm="1">
        <f t="array" ref="K234">ExtrairHiperlink(D234)</f>
        <v>https://intra.senado.leg.br/sigad/novo/protocolo/impressao.asp?cod_protocolo=4269985&amp;area=processo</v>
      </c>
      <c r="L234" t="str" cm="1">
        <f t="array" ref="L234">ExtrairHiperlink(E234)</f>
        <v>https://intra.senado.leg.br/sigad/novo/protocolo/impressao.asp?area=processo&amp;cod_protocolo=4269913&amp;cod_frente_verso=&amp;cod_juntada=&amp;txt_funcao=</v>
      </c>
    </row>
    <row r="235" spans="1:12" ht="81" x14ac:dyDescent="0.25">
      <c r="A235" s="270"/>
      <c r="B235" s="106"/>
      <c r="C235" s="109"/>
      <c r="D235" s="146"/>
      <c r="E235" s="7" t="s">
        <v>441</v>
      </c>
      <c r="F235" s="142"/>
      <c r="G235" s="169"/>
      <c r="H235" s="153"/>
      <c r="I235" s="193"/>
      <c r="J235" s="91" t="str" cm="1">
        <f t="array" ref="J235">NomeDaCor(A235)</f>
        <v>Amarelo</v>
      </c>
      <c r="K235" s="450" t="str" cm="1">
        <f t="array" ref="K235">ExtrairHiperlink(D235)</f>
        <v>https://intra.senado.leg.br/sigad/novo/protocolo/impressao.asp?cod_protocolo=4269985&amp;area=processo</v>
      </c>
      <c r="L235" t="str" cm="1">
        <f t="array" ref="L235">ExtrairHiperlink(E235)</f>
        <v>https://intra.senado.leg.br/sigad/novo/protocolo/impressao.asp?area=processo&amp;cod_protocolo=4269913&amp;cod_frente_verso=&amp;cod_juntada=&amp;txt_funcao=</v>
      </c>
    </row>
    <row r="236" spans="1:12" ht="60" x14ac:dyDescent="0.25">
      <c r="A236" s="270"/>
      <c r="B236" s="105">
        <v>45895</v>
      </c>
      <c r="C236" s="107" t="s">
        <v>476</v>
      </c>
      <c r="D236" s="132" t="s">
        <v>477</v>
      </c>
      <c r="E236" s="2" t="s">
        <v>478</v>
      </c>
      <c r="F236" s="142"/>
      <c r="G236" s="169"/>
      <c r="H236" s="153"/>
      <c r="I236" s="193"/>
      <c r="J236" s="91" t="str" cm="1">
        <f t="array" ref="J236">NomeDaCor(A236)</f>
        <v>Amarelo</v>
      </c>
      <c r="K236" s="450" t="str" cm="1">
        <f t="array" ref="K236">ExtrairHiperlink(D236)</f>
        <v>https://intra.senado.leg.br/sigad/novo/protocolo/impressao.asp?cod_protocolo=4465131&amp;area=processo</v>
      </c>
      <c r="L236" t="str" cm="1">
        <f t="array" ref="L236">ExtrairHiperlink(E236)</f>
        <v>https://intra.senado.leg.br/sigad/novo/protocolo/impressao.asp?area=processo&amp;cod_protocolo=4469345&amp;cod_frente_verso=&amp;cod_juntada=&amp;txt_funcao=</v>
      </c>
    </row>
    <row r="237" spans="1:12" ht="81" x14ac:dyDescent="0.25">
      <c r="A237" s="271"/>
      <c r="B237" s="106"/>
      <c r="C237" s="109"/>
      <c r="D237" s="146"/>
      <c r="E237" s="10" t="s">
        <v>46</v>
      </c>
      <c r="F237" s="109"/>
      <c r="G237" s="171"/>
      <c r="H237" s="93"/>
      <c r="I237" s="186"/>
      <c r="J237" s="91" t="str" cm="1">
        <f t="array" ref="J237">NomeDaCor(A237)</f>
        <v>Amarelo</v>
      </c>
      <c r="K237" s="450" t="str" cm="1">
        <f t="array" ref="K237">ExtrairHiperlink(D237)</f>
        <v>https://intra.senado.leg.br/sigad/novo/protocolo/impressao.asp?cod_protocolo=4465131&amp;area=processo</v>
      </c>
      <c r="L237" t="str" cm="1">
        <f t="array" ref="L237">ExtrairHiperlink(E237)</f>
        <v>https://intra.senado.leg.br/sigad/novo/protocolo/impressao.asp?area=processo&amp;cod_protocolo=4469345&amp;cod_frente_verso=&amp;cod_juntada=&amp;txt_funcao=</v>
      </c>
    </row>
    <row r="238" spans="1:12" ht="60" x14ac:dyDescent="0.25">
      <c r="A238" s="73" t="s">
        <v>47</v>
      </c>
      <c r="B238" s="105">
        <v>45728</v>
      </c>
      <c r="C238" s="145" t="s">
        <v>114</v>
      </c>
      <c r="D238" s="132" t="s">
        <v>115</v>
      </c>
      <c r="E238" s="2" t="s">
        <v>116</v>
      </c>
      <c r="F238" s="107" t="s">
        <v>482</v>
      </c>
      <c r="G238" s="147" t="s">
        <v>483</v>
      </c>
      <c r="H238" s="92"/>
      <c r="I238" s="275" t="s">
        <v>484</v>
      </c>
      <c r="J238" s="91" t="str" cm="1">
        <f t="array" ref="J238">NomeDaCor(A238)</f>
        <v>Amarelo</v>
      </c>
      <c r="K238" s="450" t="str" cm="1">
        <f t="array" ref="K238">ExtrairHiperlink(D238)</f>
        <v>https://intra.senado.leg.br/sigad/novo/protocolo/impressao.asp?cod_protocolo=4269985&amp;area=processo</v>
      </c>
      <c r="L238" t="str" cm="1">
        <f t="array" ref="L238">ExtrairHiperlink(E238)</f>
        <v>https://intra.senado.leg.br/sigad/novo/protocolo/impressao.asp?area=processo&amp;cod_protocolo=4269913&amp;cod_frente_verso=&amp;cod_juntada=&amp;txt_funcao=</v>
      </c>
    </row>
    <row r="239" spans="1:12" ht="81" x14ac:dyDescent="0.25">
      <c r="A239" s="29" t="s">
        <v>54</v>
      </c>
      <c r="B239" s="106"/>
      <c r="C239" s="109"/>
      <c r="D239" s="146"/>
      <c r="E239" s="7" t="s">
        <v>441</v>
      </c>
      <c r="F239" s="109"/>
      <c r="G239" s="111"/>
      <c r="H239" s="93"/>
      <c r="I239" s="275"/>
      <c r="J239" s="91" t="str" cm="1">
        <f t="array" ref="J239">NomeDaCor(A239)</f>
        <v>Verde</v>
      </c>
      <c r="K239" s="450" t="str" cm="1">
        <f t="array" ref="K239">ExtrairHiperlink(D239)</f>
        <v>https://intra.senado.leg.br/sigad/novo/protocolo/impressao.asp?cod_protocolo=4269985&amp;area=processo</v>
      </c>
      <c r="L239" t="str" cm="1">
        <f t="array" ref="L239">ExtrairHiperlink(E239)</f>
        <v>https://intra.senado.leg.br/sigad/novo/protocolo/impressao.asp?area=processo&amp;cod_protocolo=4269913&amp;cod_frente_verso=&amp;cod_juntada=&amp;txt_funcao=</v>
      </c>
    </row>
    <row r="240" spans="1:12" ht="60" x14ac:dyDescent="0.25">
      <c r="A240" s="276"/>
      <c r="B240" s="105">
        <v>45692</v>
      </c>
      <c r="C240" s="107" t="s">
        <v>203</v>
      </c>
      <c r="D240" s="132" t="s">
        <v>204</v>
      </c>
      <c r="E240" s="2" t="s">
        <v>205</v>
      </c>
      <c r="F240" s="107" t="s">
        <v>485</v>
      </c>
      <c r="G240" s="147" t="s">
        <v>486</v>
      </c>
      <c r="H240" s="92"/>
      <c r="I240" s="197" t="s">
        <v>484</v>
      </c>
      <c r="J240" s="91" t="str" cm="1">
        <f t="array" ref="J240">NomeDaCor(A240)</f>
        <v>Amarelo</v>
      </c>
      <c r="K240" s="450" t="str" cm="1">
        <f t="array" ref="K240">ExtrairHiperlink(D240)</f>
        <v>https://intra.senado.leg.br/sigad/novo/protocolo/impressao.asp?cod_protocolo=4226567&amp;area=processo</v>
      </c>
      <c r="L240" t="str" cm="1">
        <f t="array" ref="L240">ExtrairHiperlink(E240)</f>
        <v>https://intra.senado.leg.br/sigad/novo/protocolo/impressao.asp?cod_protocolo=4241695&amp;area=documento</v>
      </c>
    </row>
    <row r="241" spans="1:12" ht="81" x14ac:dyDescent="0.25">
      <c r="A241" s="277"/>
      <c r="B241" s="106"/>
      <c r="C241" s="108"/>
      <c r="D241" s="146"/>
      <c r="E241" s="7" t="s">
        <v>441</v>
      </c>
      <c r="F241" s="109"/>
      <c r="G241" s="111"/>
      <c r="H241" s="153"/>
      <c r="I241" s="198"/>
      <c r="J241" s="91" t="str" cm="1">
        <f t="array" ref="J241">NomeDaCor(A241)</f>
        <v>Amarelo</v>
      </c>
      <c r="K241" s="450" t="str" cm="1">
        <f t="array" ref="K241">ExtrairHiperlink(D241)</f>
        <v>https://intra.senado.leg.br/sigad/novo/protocolo/impressao.asp?cod_protocolo=4226567&amp;area=processo</v>
      </c>
      <c r="L241" t="str" cm="1">
        <f t="array" ref="L241">ExtrairHiperlink(E241)</f>
        <v>https://intra.senado.leg.br/sigad/novo/protocolo/impressao.asp?cod_protocolo=4241695&amp;area=documento</v>
      </c>
    </row>
    <row r="242" spans="1:12" ht="60" x14ac:dyDescent="0.25">
      <c r="A242" s="277"/>
      <c r="B242" s="105">
        <v>45652</v>
      </c>
      <c r="C242" s="107" t="s">
        <v>26</v>
      </c>
      <c r="D242" s="100" t="s">
        <v>27</v>
      </c>
      <c r="E242" s="2" t="s">
        <v>28</v>
      </c>
      <c r="F242" s="107" t="s">
        <v>487</v>
      </c>
      <c r="G242" s="110">
        <v>45910</v>
      </c>
      <c r="H242" s="153"/>
      <c r="I242" s="198"/>
      <c r="J242" s="91" t="str" cm="1">
        <f t="array" ref="J242">NomeDaCor(A242)</f>
        <v>Amarelo</v>
      </c>
      <c r="K242" s="450" t="str" cm="1">
        <f t="array" ref="K242">ExtrairHiperlink(D242)</f>
        <v>https://intra.senado.leg.br/sigad/novo/protocolo/impressao.asp?cod_protocolo=4184491&amp;area=processo</v>
      </c>
      <c r="L242" t="str" cm="1">
        <f t="array" ref="L242">ExtrairHiperlink(E242)</f>
        <v>https://intra.senado.leg.br/sigad/novo/protocolo/impressao.asp?area=processo&amp;cod_protocolo=4223434&amp;cod_frente_verso=&amp;cod_juntada=&amp;txt_funcao=</v>
      </c>
    </row>
    <row r="243" spans="1:12" ht="81" x14ac:dyDescent="0.25">
      <c r="A243" s="277"/>
      <c r="B243" s="106"/>
      <c r="C243" s="108"/>
      <c r="D243" s="100"/>
      <c r="E243" s="7" t="s">
        <v>441</v>
      </c>
      <c r="F243" s="109"/>
      <c r="G243" s="111"/>
      <c r="H243" s="153"/>
      <c r="I243" s="198"/>
      <c r="J243" s="91" t="str" cm="1">
        <f t="array" ref="J243">NomeDaCor(A243)</f>
        <v>Amarelo</v>
      </c>
      <c r="K243" s="450" t="str" cm="1">
        <f t="array" ref="K243">ExtrairHiperlink(D243)</f>
        <v>https://intra.senado.leg.br/sigad/novo/protocolo/impressao.asp?cod_protocolo=4184491&amp;area=processo</v>
      </c>
      <c r="L243" t="str" cm="1">
        <f t="array" ref="L243">ExtrairHiperlink(E243)</f>
        <v>https://intra.senado.leg.br/sigad/novo/protocolo/impressao.asp?area=processo&amp;cod_protocolo=4223434&amp;cod_frente_verso=&amp;cod_juntada=&amp;txt_funcao=</v>
      </c>
    </row>
    <row r="244" spans="1:12" ht="60" x14ac:dyDescent="0.25">
      <c r="A244" s="277"/>
      <c r="B244" s="105">
        <v>45692</v>
      </c>
      <c r="C244" s="107" t="s">
        <v>55</v>
      </c>
      <c r="D244" s="132" t="s">
        <v>137</v>
      </c>
      <c r="E244" s="2" t="s">
        <v>138</v>
      </c>
      <c r="F244" s="107" t="s">
        <v>488</v>
      </c>
      <c r="G244" s="147" t="s">
        <v>486</v>
      </c>
      <c r="H244" s="153"/>
      <c r="I244" s="198"/>
      <c r="J244" s="91" t="str" cm="1">
        <f t="array" ref="J244">NomeDaCor(A244)</f>
        <v>Amarelo</v>
      </c>
      <c r="K244" s="450" t="str" cm="1">
        <f t="array" ref="K244">ExtrairHiperlink(D244)</f>
        <v>https://intra.senado.leg.br/sigad/novo/protocolo/impressao.asp?cod_protocolo=4228774&amp;area=processo</v>
      </c>
      <c r="L244" t="str" cm="1">
        <f t="array" ref="L244">ExtrairHiperlink(E244)</f>
        <v>https://intra.senado.leg.br/sigad/novo/protocolo/impressao.asp?cod_protocolo=4241698&amp;area=documento</v>
      </c>
    </row>
    <row r="245" spans="1:12" ht="81" x14ac:dyDescent="0.25">
      <c r="A245" s="277"/>
      <c r="B245" s="106"/>
      <c r="C245" s="109"/>
      <c r="D245" s="146"/>
      <c r="E245" s="7" t="s">
        <v>441</v>
      </c>
      <c r="F245" s="109"/>
      <c r="G245" s="169"/>
      <c r="H245" s="153"/>
      <c r="I245" s="198"/>
      <c r="J245" s="91" t="str" cm="1">
        <f t="array" ref="J245">NomeDaCor(A245)</f>
        <v>Amarelo</v>
      </c>
      <c r="K245" s="450" t="str" cm="1">
        <f t="array" ref="K245">ExtrairHiperlink(D245)</f>
        <v>https://intra.senado.leg.br/sigad/novo/protocolo/impressao.asp?cod_protocolo=4228774&amp;area=processo</v>
      </c>
      <c r="L245" t="str" cm="1">
        <f t="array" ref="L245">ExtrairHiperlink(E245)</f>
        <v>https://intra.senado.leg.br/sigad/novo/protocolo/impressao.asp?cod_protocolo=4241698&amp;area=documento</v>
      </c>
    </row>
    <row r="246" spans="1:12" ht="60" x14ac:dyDescent="0.25">
      <c r="A246" s="277"/>
      <c r="B246" s="105">
        <v>45728</v>
      </c>
      <c r="C246" s="145" t="s">
        <v>114</v>
      </c>
      <c r="D246" s="132" t="s">
        <v>115</v>
      </c>
      <c r="E246" s="2" t="s">
        <v>116</v>
      </c>
      <c r="F246" s="107" t="s">
        <v>487</v>
      </c>
      <c r="G246" s="169"/>
      <c r="H246" s="153"/>
      <c r="I246" s="198"/>
      <c r="J246" s="91" t="str" cm="1">
        <f t="array" ref="J246">NomeDaCor(A246)</f>
        <v>Amarelo</v>
      </c>
      <c r="K246" s="450" t="str" cm="1">
        <f t="array" ref="K246">ExtrairHiperlink(D246)</f>
        <v>https://intra.senado.leg.br/sigad/novo/protocolo/impressao.asp?cod_protocolo=4269985&amp;area=processo</v>
      </c>
      <c r="L246" t="str" cm="1">
        <f t="array" ref="L246">ExtrairHiperlink(E246)</f>
        <v>https://intra.senado.leg.br/sigad/novo/protocolo/impressao.asp?area=processo&amp;cod_protocolo=4269913&amp;cod_frente_verso=&amp;cod_juntada=&amp;txt_funcao=</v>
      </c>
    </row>
    <row r="247" spans="1:12" ht="81" x14ac:dyDescent="0.25">
      <c r="A247" s="277"/>
      <c r="B247" s="106"/>
      <c r="C247" s="109"/>
      <c r="D247" s="146"/>
      <c r="E247" s="7" t="s">
        <v>441</v>
      </c>
      <c r="F247" s="109"/>
      <c r="G247" s="169"/>
      <c r="H247" s="153"/>
      <c r="I247" s="198"/>
      <c r="J247" s="91" t="str" cm="1">
        <f t="array" ref="J247">NomeDaCor(A247)</f>
        <v>Amarelo</v>
      </c>
      <c r="K247" s="450" t="str" cm="1">
        <f t="array" ref="K247">ExtrairHiperlink(D247)</f>
        <v>https://intra.senado.leg.br/sigad/novo/protocolo/impressao.asp?cod_protocolo=4269985&amp;area=processo</v>
      </c>
      <c r="L247" t="str" cm="1">
        <f t="array" ref="L247">ExtrairHiperlink(E247)</f>
        <v>https://intra.senado.leg.br/sigad/novo/protocolo/impressao.asp?area=processo&amp;cod_protocolo=4269913&amp;cod_frente_verso=&amp;cod_juntada=&amp;txt_funcao=</v>
      </c>
    </row>
    <row r="248" spans="1:12" ht="60" x14ac:dyDescent="0.25">
      <c r="A248" s="277"/>
      <c r="B248" s="105">
        <v>45875</v>
      </c>
      <c r="C248" s="107" t="s">
        <v>390</v>
      </c>
      <c r="D248" s="132" t="s">
        <v>489</v>
      </c>
      <c r="E248" s="74" t="s">
        <v>490</v>
      </c>
      <c r="F248" s="107" t="s">
        <v>491</v>
      </c>
      <c r="G248" s="169"/>
      <c r="H248" s="153"/>
      <c r="I248" s="198"/>
      <c r="J248" s="91" t="str" cm="1">
        <f t="array" ref="J248">NomeDaCor(A248)</f>
        <v>Amarelo</v>
      </c>
      <c r="K248" s="450" t="str" cm="1">
        <f t="array" ref="K248">ExtrairHiperlink(D248)</f>
        <v>https://intra.senado.leg.br/sigad/novo/protocolo/impressao.asp?cod_protocolo=4269985&amp;area=processo</v>
      </c>
      <c r="L248" t="str" cm="1">
        <f t="array" ref="L248">ExtrairHiperlink(E248)</f>
        <v>https://intra.senado.leg.br/sigad/novo/protocolo/impressao.asp?cod_protocolo=4446197</v>
      </c>
    </row>
    <row r="249" spans="1:12" ht="81" x14ac:dyDescent="0.25">
      <c r="A249" s="278"/>
      <c r="B249" s="106"/>
      <c r="C249" s="109"/>
      <c r="D249" s="146"/>
      <c r="E249" s="7" t="s">
        <v>441</v>
      </c>
      <c r="F249" s="109"/>
      <c r="G249" s="171"/>
      <c r="H249" s="93"/>
      <c r="I249" s="199"/>
      <c r="J249" s="91" t="str" cm="1">
        <f t="array" ref="J249">NomeDaCor(A249)</f>
        <v>Amarelo</v>
      </c>
      <c r="K249" s="450" t="str" cm="1">
        <f t="array" ref="K249">ExtrairHiperlink(D249)</f>
        <v>https://intra.senado.leg.br/sigad/novo/protocolo/impressao.asp?cod_protocolo=4269985&amp;area=processo</v>
      </c>
      <c r="L249" t="str" cm="1">
        <f t="array" ref="L249">ExtrairHiperlink(E249)</f>
        <v>https://intra.senado.leg.br/sigad/novo/protocolo/impressao.asp?cod_protocolo=4446197</v>
      </c>
    </row>
    <row r="250" spans="1:12" ht="60" x14ac:dyDescent="0.25">
      <c r="A250" s="136"/>
      <c r="B250" s="105">
        <v>45722</v>
      </c>
      <c r="C250" s="107" t="s">
        <v>97</v>
      </c>
      <c r="D250" s="132" t="s">
        <v>492</v>
      </c>
      <c r="E250" s="2" t="s">
        <v>493</v>
      </c>
      <c r="F250" s="107" t="s">
        <v>494</v>
      </c>
      <c r="G250" s="147" t="s">
        <v>495</v>
      </c>
      <c r="H250" s="92"/>
      <c r="I250" s="185" t="s">
        <v>484</v>
      </c>
      <c r="J250" s="91" t="str" cm="1">
        <f t="array" ref="J250">NomeDaCor(A250)</f>
        <v>Azul</v>
      </c>
      <c r="K250" s="450" t="str" cm="1">
        <f t="array" ref="K250">ExtrairHiperlink(D250)</f>
        <v>https://intra.senado.leg.br/sigad/novo/protocolo/impressao.asp?cod_protocolo=4262638&amp;area=processo</v>
      </c>
      <c r="L250" t="str" cm="1">
        <f t="array" ref="L250">ExtrairHiperlink(E250)</f>
        <v>https://intra.senado.leg.br/sigad/novo/protocolo/impressao.asp?area=processo&amp;cod_protocolo=4262721&amp;cod_frente_verso=&amp;cod_juntada=&amp;txt_funcao=</v>
      </c>
    </row>
    <row r="251" spans="1:12" ht="81" x14ac:dyDescent="0.25">
      <c r="A251" s="137"/>
      <c r="B251" s="106"/>
      <c r="C251" s="109"/>
      <c r="D251" s="146"/>
      <c r="E251" s="10" t="s">
        <v>46</v>
      </c>
      <c r="F251" s="109"/>
      <c r="G251" s="111"/>
      <c r="H251" s="93"/>
      <c r="I251" s="186"/>
      <c r="J251" s="91" t="str" cm="1">
        <f t="array" ref="J251">NomeDaCor(A251)</f>
        <v>Azul</v>
      </c>
      <c r="K251" s="450" t="str" cm="1">
        <f t="array" ref="K251">ExtrairHiperlink(D251)</f>
        <v>https://intra.senado.leg.br/sigad/novo/protocolo/impressao.asp?cod_protocolo=4262638&amp;area=processo</v>
      </c>
      <c r="L251" t="str" cm="1">
        <f t="array" ref="L251">ExtrairHiperlink(E251)</f>
        <v>https://intra.senado.leg.br/sigad/novo/protocolo/impressao.asp?area=processo&amp;cod_protocolo=4262721&amp;cod_frente_verso=&amp;cod_juntada=&amp;txt_funcao=</v>
      </c>
    </row>
    <row r="252" spans="1:12" ht="60" x14ac:dyDescent="0.25">
      <c r="A252" s="192"/>
      <c r="B252" s="97">
        <v>45912</v>
      </c>
      <c r="C252" s="98" t="s">
        <v>55</v>
      </c>
      <c r="D252" s="273" t="s">
        <v>496</v>
      </c>
      <c r="E252" s="68" t="s">
        <v>497</v>
      </c>
      <c r="F252" s="98" t="s">
        <v>498</v>
      </c>
      <c r="G252" s="274" t="s">
        <v>499</v>
      </c>
      <c r="H252" s="184"/>
      <c r="I252" s="185" t="s">
        <v>500</v>
      </c>
      <c r="J252" s="91" t="str" cm="1">
        <f t="array" ref="J252">NomeDaCor(A252)</f>
        <v>Vermelho</v>
      </c>
      <c r="K252" s="450" t="str" cm="1">
        <f t="array" ref="K252">ExtrairHiperlink(D252)</f>
        <v>https://intra.senado.leg.br/sigad/novo/protocolo/impressao.asp?cod_protocolo=4228774&amp;area=processo</v>
      </c>
      <c r="L252" t="str" cm="1">
        <f t="array" ref="L252">ExtrairHiperlink(E252)</f>
        <v>https://intra.senado.leg.br/sigad/protocolo/impressao_arquivo.asp?cod_protocolo=4487853&amp;area=documento</v>
      </c>
    </row>
    <row r="253" spans="1:12" ht="81" x14ac:dyDescent="0.25">
      <c r="A253" s="192"/>
      <c r="B253" s="97"/>
      <c r="C253" s="98"/>
      <c r="D253" s="273"/>
      <c r="E253" s="7" t="s">
        <v>441</v>
      </c>
      <c r="F253" s="98"/>
      <c r="G253" s="102"/>
      <c r="H253" s="184"/>
      <c r="I253" s="186"/>
      <c r="J253" s="91" t="str" cm="1">
        <f t="array" ref="J253">NomeDaCor(A253)</f>
        <v>Vermelho</v>
      </c>
      <c r="K253" s="450" t="str" cm="1">
        <f t="array" ref="K253">ExtrairHiperlink(D253)</f>
        <v>https://intra.senado.leg.br/sigad/novo/protocolo/impressao.asp?cod_protocolo=4228774&amp;area=processo</v>
      </c>
      <c r="L253" t="str" cm="1">
        <f t="array" ref="L253">ExtrairHiperlink(E253)</f>
        <v>https://intra.senado.leg.br/sigad/protocolo/impressao_arquivo.asp?cod_protocolo=4487853&amp;area=documento</v>
      </c>
    </row>
    <row r="254" spans="1:12" ht="60" x14ac:dyDescent="0.25">
      <c r="A254" s="223" t="s">
        <v>18</v>
      </c>
      <c r="B254" s="224">
        <v>45832</v>
      </c>
      <c r="C254" s="272" t="s">
        <v>501</v>
      </c>
      <c r="D254" s="268" t="s">
        <v>502</v>
      </c>
      <c r="E254" s="75" t="s">
        <v>503</v>
      </c>
      <c r="F254" s="161" t="s">
        <v>504</v>
      </c>
      <c r="G254" s="126" t="s">
        <v>505</v>
      </c>
      <c r="H254" s="128"/>
      <c r="I254" s="129" t="s">
        <v>24</v>
      </c>
      <c r="J254" s="91" t="str" cm="1">
        <f t="array" ref="J254">NomeDaCor(A254)</f>
        <v>Preto</v>
      </c>
      <c r="K254" s="450" t="str" cm="1">
        <f t="array" ref="K254">ExtrairHiperlink(D254)</f>
        <v>https://intra.senado.leg.br/sigad/novo/protocolo/impressao.asp?cod_protocolo=4395465&amp;area=processo</v>
      </c>
      <c r="L254" t="str" cm="1">
        <f t="array" ref="L254">ExtrairHiperlink(E254)</f>
        <v>https://intra.senado.leg.br/sigad/novo/protocolo/impressao.asp?area=processo&amp;cod_protocolo=4397689&amp;cod_frente_verso=&amp;cod_juntada=&amp;txt_funcao=</v>
      </c>
    </row>
    <row r="255" spans="1:12" ht="81" x14ac:dyDescent="0.25">
      <c r="A255" s="175"/>
      <c r="B255" s="176"/>
      <c r="C255" s="177"/>
      <c r="D255" s="268"/>
      <c r="E255" s="76" t="s">
        <v>25</v>
      </c>
      <c r="F255" s="177"/>
      <c r="G255" s="127"/>
      <c r="H255" s="182"/>
      <c r="I255" s="130"/>
      <c r="J255" s="91" t="str" cm="1">
        <f t="array" ref="J255">NomeDaCor(A255)</f>
        <v>Preto</v>
      </c>
      <c r="K255" s="450" t="str" cm="1">
        <f t="array" ref="K255">ExtrairHiperlink(D255)</f>
        <v>https://intra.senado.leg.br/sigad/novo/protocolo/impressao.asp?cod_protocolo=4395465&amp;area=processo</v>
      </c>
      <c r="L255" t="str" cm="1">
        <f t="array" ref="L255">ExtrairHiperlink(E255)</f>
        <v>https://intra.senado.leg.br/sigad/novo/protocolo/impressao.asp?area=processo&amp;cod_protocolo=4397689&amp;cod_frente_verso=&amp;cod_juntada=&amp;txt_funcao=</v>
      </c>
    </row>
    <row r="256" spans="1:12" ht="60" x14ac:dyDescent="0.25">
      <c r="A256" s="140"/>
      <c r="B256" s="105">
        <v>45693</v>
      </c>
      <c r="C256" s="107" t="s">
        <v>63</v>
      </c>
      <c r="D256" s="173" t="s">
        <v>38</v>
      </c>
      <c r="E256" s="2" t="s">
        <v>39</v>
      </c>
      <c r="F256" s="107" t="s">
        <v>506</v>
      </c>
      <c r="G256" s="147" t="s">
        <v>507</v>
      </c>
      <c r="H256" s="92"/>
      <c r="I256" s="185" t="s">
        <v>508</v>
      </c>
      <c r="J256" s="91" t="str" cm="1">
        <f t="array" ref="J256">NomeDaCor(A256)</f>
        <v>Verde</v>
      </c>
      <c r="K256" s="450" t="str" cm="1">
        <f t="array" ref="K256">ExtrairHiperlink(D256)</f>
        <v>https://intra.senado.leg.br/sigad/novo/protocolo/impressao.asp?cod_protocolo=4227195</v>
      </c>
      <c r="L256" t="str" cm="1">
        <f t="array" ref="L256">ExtrairHiperlink(E256)</f>
        <v>https://intra.senado.leg.br/sigad/novo/protocolo/impressao.asp?area=processo&amp;cod_protocolo=4236444&amp;cod_frente_verso=&amp;cod_juntada=&amp;txt_funcao=</v>
      </c>
    </row>
    <row r="257" spans="1:12" ht="81" x14ac:dyDescent="0.25">
      <c r="A257" s="228"/>
      <c r="B257" s="106"/>
      <c r="C257" s="109"/>
      <c r="D257" s="146"/>
      <c r="E257" s="7" t="s">
        <v>441</v>
      </c>
      <c r="F257" s="142"/>
      <c r="G257" s="169"/>
      <c r="H257" s="153"/>
      <c r="I257" s="193"/>
      <c r="J257" s="91" t="str" cm="1">
        <f t="array" ref="J257">NomeDaCor(A257)</f>
        <v>Verde</v>
      </c>
      <c r="K257" s="450" t="str" cm="1">
        <f t="array" ref="K257">ExtrairHiperlink(D257)</f>
        <v>https://intra.senado.leg.br/sigad/novo/protocolo/impressao.asp?cod_protocolo=4227195</v>
      </c>
      <c r="L257" t="str" cm="1">
        <f t="array" ref="L257">ExtrairHiperlink(E257)</f>
        <v>https://intra.senado.leg.br/sigad/novo/protocolo/impressao.asp?area=processo&amp;cod_protocolo=4236444&amp;cod_frente_verso=&amp;cod_juntada=&amp;txt_funcao=</v>
      </c>
    </row>
    <row r="258" spans="1:12" ht="60" x14ac:dyDescent="0.25">
      <c r="A258" s="228"/>
      <c r="B258" s="105">
        <v>45855</v>
      </c>
      <c r="C258" s="107" t="s">
        <v>188</v>
      </c>
      <c r="D258" s="173" t="s">
        <v>509</v>
      </c>
      <c r="E258" s="65" t="s">
        <v>510</v>
      </c>
      <c r="F258" s="142"/>
      <c r="G258" s="169"/>
      <c r="H258" s="153"/>
      <c r="I258" s="193"/>
      <c r="J258" s="91" t="str" cm="1">
        <f t="array" ref="J258">NomeDaCor(A258)</f>
        <v>Verde</v>
      </c>
      <c r="K258" s="450" t="str" cm="1">
        <f t="array" ref="K258">ExtrairHiperlink(D258)</f>
        <v>https://intra.senado.leg.br/sigad/visualizador/PdfJs/web/viewer.html?cod_protocolo=4426360&amp;cod_pagina=&amp;cod_usuario=82996&amp;cod_orgao=9694&amp;token=7FK7O1WYBMXLGE5</v>
      </c>
      <c r="L258" t="str" cm="1">
        <f t="array" ref="L258">ExtrairHiperlink(E258)</f>
        <v>https://intra.senado.leg.br/sigad/visualizador/PdfJs/web/viewer.html?cod_protocolo=4437250&amp;cod_pagina=&amp;cod_usuario=76880&amp;cod_orgao=9694&amp;token=GPEFVROKM99T495</v>
      </c>
    </row>
    <row r="259" spans="1:12" ht="81" x14ac:dyDescent="0.25">
      <c r="A259" s="228"/>
      <c r="B259" s="106"/>
      <c r="C259" s="109"/>
      <c r="D259" s="146"/>
      <c r="E259" s="7" t="s">
        <v>441</v>
      </c>
      <c r="F259" s="142"/>
      <c r="G259" s="169"/>
      <c r="H259" s="153"/>
      <c r="I259" s="193"/>
      <c r="J259" s="91" t="str" cm="1">
        <f t="array" ref="J259">NomeDaCor(A259)</f>
        <v>Verde</v>
      </c>
      <c r="K259" s="450" t="str" cm="1">
        <f t="array" ref="K259">ExtrairHiperlink(D259)</f>
        <v>https://intra.senado.leg.br/sigad/visualizador/PdfJs/web/viewer.html?cod_protocolo=4426360&amp;cod_pagina=&amp;cod_usuario=82996&amp;cod_orgao=9694&amp;token=7FK7O1WYBMXLGE5</v>
      </c>
      <c r="L259" t="str" cm="1">
        <f t="array" ref="L259">ExtrairHiperlink(E259)</f>
        <v>https://intra.senado.leg.br/sigad/visualizador/PdfJs/web/viewer.html?cod_protocolo=4437250&amp;cod_pagina=&amp;cod_usuario=76880&amp;cod_orgao=9694&amp;token=GPEFVROKM99T495</v>
      </c>
    </row>
    <row r="260" spans="1:12" ht="60" x14ac:dyDescent="0.25">
      <c r="A260" s="228"/>
      <c r="B260" s="105">
        <v>45859</v>
      </c>
      <c r="C260" s="107" t="s">
        <v>97</v>
      </c>
      <c r="D260" s="132" t="s">
        <v>98</v>
      </c>
      <c r="E260" s="66" t="s">
        <v>511</v>
      </c>
      <c r="F260" s="142"/>
      <c r="G260" s="169"/>
      <c r="H260" s="153"/>
      <c r="I260" s="193"/>
      <c r="J260" s="91" t="str" cm="1">
        <f t="array" ref="J260">NomeDaCor(A260)</f>
        <v>Verde</v>
      </c>
      <c r="K260" s="450" t="str" cm="1">
        <f t="array" ref="K260">ExtrairHiperlink(D260)</f>
        <v>https://intra.senado.leg.br/sigad/novo/protocolo/impressao.asp?cod_protocolo=4268675&amp;area=processo</v>
      </c>
      <c r="L260" t="str" cm="1">
        <f t="array" ref="L260">ExtrairHiperlink(E260)</f>
        <v>https://intra.senado.leg.br/sigad/visualizador/PdfJs/web/viewer.html?cod_protocolo=4438542&amp;cod_pagina=&amp;cod_usuario=76880&amp;cod_orgao=9694&amp;token=849WBU6W9I07EB6</v>
      </c>
    </row>
    <row r="261" spans="1:12" ht="81" x14ac:dyDescent="0.25">
      <c r="A261" s="228"/>
      <c r="B261" s="106"/>
      <c r="C261" s="109"/>
      <c r="D261" s="146"/>
      <c r="E261" s="7" t="s">
        <v>441</v>
      </c>
      <c r="F261" s="109"/>
      <c r="G261" s="169"/>
      <c r="H261" s="153"/>
      <c r="I261" s="193"/>
      <c r="J261" s="91" t="str" cm="1">
        <f t="array" ref="J261">NomeDaCor(A261)</f>
        <v>Verde</v>
      </c>
      <c r="K261" s="450" t="str" cm="1">
        <f t="array" ref="K261">ExtrairHiperlink(D261)</f>
        <v>https://intra.senado.leg.br/sigad/novo/protocolo/impressao.asp?cod_protocolo=4268675&amp;area=processo</v>
      </c>
      <c r="L261" t="str" cm="1">
        <f t="array" ref="L261">ExtrairHiperlink(E261)</f>
        <v>https://intra.senado.leg.br/sigad/visualizador/PdfJs/web/viewer.html?cod_protocolo=4438542&amp;cod_pagina=&amp;cod_usuario=76880&amp;cod_orgao=9694&amp;token=849WBU6W9I07EB6</v>
      </c>
    </row>
    <row r="262" spans="1:12" ht="60" x14ac:dyDescent="0.25">
      <c r="A262" s="228"/>
      <c r="B262" s="105">
        <v>45727</v>
      </c>
      <c r="C262" s="107" t="s">
        <v>97</v>
      </c>
      <c r="D262" s="132" t="s">
        <v>98</v>
      </c>
      <c r="E262" s="2" t="s">
        <v>99</v>
      </c>
      <c r="F262" s="107" t="s">
        <v>512</v>
      </c>
      <c r="G262" s="169"/>
      <c r="H262" s="153"/>
      <c r="I262" s="193"/>
      <c r="J262" s="91" t="str" cm="1">
        <f t="array" ref="J262">NomeDaCor(A262)</f>
        <v>Verde</v>
      </c>
      <c r="K262" s="450" t="str" cm="1">
        <f t="array" ref="K262">ExtrairHiperlink(D262)</f>
        <v>https://intra.senado.leg.br/sigad/novo/protocolo/impressao.asp?cod_protocolo=4268675&amp;area=processo</v>
      </c>
      <c r="L262" t="str" cm="1">
        <f t="array" ref="L262">ExtrairHiperlink(E262)</f>
        <v>https://intra.senado.leg.br/sigad/novo/protocolo/impressao.asp?area=processo&amp;cod_protocolo=4268746&amp;cod_frente_verso=&amp;cod_juntada=&amp;txt_funcao=</v>
      </c>
    </row>
    <row r="263" spans="1:12" ht="81" x14ac:dyDescent="0.25">
      <c r="A263" s="228"/>
      <c r="B263" s="106"/>
      <c r="C263" s="109"/>
      <c r="D263" s="146"/>
      <c r="E263" s="10" t="s">
        <v>46</v>
      </c>
      <c r="F263" s="142"/>
      <c r="G263" s="169"/>
      <c r="H263" s="153"/>
      <c r="I263" s="193"/>
      <c r="J263" s="91" t="str" cm="1">
        <f t="array" ref="J263">NomeDaCor(A263)</f>
        <v>Verde</v>
      </c>
      <c r="K263" s="450" t="str" cm="1">
        <f t="array" ref="K263">ExtrairHiperlink(D263)</f>
        <v>https://intra.senado.leg.br/sigad/novo/protocolo/impressao.asp?cod_protocolo=4268675&amp;area=processo</v>
      </c>
      <c r="L263" t="str" cm="1">
        <f t="array" ref="L263">ExtrairHiperlink(E263)</f>
        <v>https://intra.senado.leg.br/sigad/novo/protocolo/impressao.asp?area=processo&amp;cod_protocolo=4268746&amp;cod_frente_verso=&amp;cod_juntada=&amp;txt_funcao=</v>
      </c>
    </row>
    <row r="264" spans="1:12" ht="60" x14ac:dyDescent="0.25">
      <c r="A264" s="228"/>
      <c r="B264" s="105">
        <v>45895</v>
      </c>
      <c r="C264" s="107" t="s">
        <v>476</v>
      </c>
      <c r="D264" s="132" t="s">
        <v>477</v>
      </c>
      <c r="E264" s="2" t="s">
        <v>478</v>
      </c>
      <c r="F264" s="142"/>
      <c r="G264" s="169"/>
      <c r="H264" s="153"/>
      <c r="I264" s="193"/>
      <c r="J264" s="91" t="str" cm="1">
        <f t="array" ref="J264">NomeDaCor(A264)</f>
        <v>Verde</v>
      </c>
      <c r="K264" s="450" t="str" cm="1">
        <f t="array" ref="K264">ExtrairHiperlink(D264)</f>
        <v>https://intra.senado.leg.br/sigad/novo/protocolo/impressao.asp?cod_protocolo=4465131&amp;area=processo</v>
      </c>
      <c r="L264" t="str" cm="1">
        <f t="array" ref="L264">ExtrairHiperlink(E264)</f>
        <v>https://intra.senado.leg.br/sigad/novo/protocolo/impressao.asp?area=processo&amp;cod_protocolo=4469345&amp;cod_frente_verso=&amp;cod_juntada=&amp;txt_funcao=</v>
      </c>
    </row>
    <row r="265" spans="1:12" ht="81" x14ac:dyDescent="0.25">
      <c r="A265" s="228"/>
      <c r="B265" s="106"/>
      <c r="C265" s="109"/>
      <c r="D265" s="146"/>
      <c r="E265" s="7" t="s">
        <v>441</v>
      </c>
      <c r="F265" s="142"/>
      <c r="G265" s="169"/>
      <c r="H265" s="153"/>
      <c r="I265" s="193"/>
      <c r="J265" s="91" t="str" cm="1">
        <f t="array" ref="J265">NomeDaCor(A265)</f>
        <v>Verde</v>
      </c>
      <c r="K265" s="450" t="str" cm="1">
        <f t="array" ref="K265">ExtrairHiperlink(D265)</f>
        <v>https://intra.senado.leg.br/sigad/novo/protocolo/impressao.asp?cod_protocolo=4465131&amp;area=processo</v>
      </c>
      <c r="L265" t="str" cm="1">
        <f t="array" ref="L265">ExtrairHiperlink(E265)</f>
        <v>https://intra.senado.leg.br/sigad/novo/protocolo/impressao.asp?area=processo&amp;cod_protocolo=4469345&amp;cod_frente_verso=&amp;cod_juntada=&amp;txt_funcao=</v>
      </c>
    </row>
    <row r="266" spans="1:12" ht="60" x14ac:dyDescent="0.25">
      <c r="A266" s="228"/>
      <c r="B266" s="105">
        <v>45908</v>
      </c>
      <c r="C266" s="107" t="s">
        <v>100</v>
      </c>
      <c r="D266" s="132" t="s">
        <v>513</v>
      </c>
      <c r="E266" s="3" t="s">
        <v>514</v>
      </c>
      <c r="F266" s="142"/>
      <c r="G266" s="169"/>
      <c r="H266" s="153"/>
      <c r="I266" s="193"/>
      <c r="J266" s="91" t="str" cm="1">
        <f t="array" ref="J266">NomeDaCor(A266)</f>
        <v>Verde</v>
      </c>
      <c r="K266" s="450" t="str" cm="1">
        <f t="array" ref="K266">ExtrairHiperlink(D266)</f>
        <v>https://intra.senado.leg.br/sigad/novo/protocolo/impressao.asp?cod_protocolo=4479729&amp;area=processo</v>
      </c>
      <c r="L266" t="str" cm="1">
        <f t="array" ref="L266">ExtrairHiperlink(E266)</f>
        <v>https://intra.senado.leg.br/sigad/novo/protocolo/impressao.asp?area=processo&amp;cod_protocolo=4483965&amp;cod_frente_verso=&amp;cod_juntada=&amp;txt_funcao=</v>
      </c>
    </row>
    <row r="267" spans="1:12" ht="81" x14ac:dyDescent="0.25">
      <c r="A267" s="228"/>
      <c r="B267" s="106"/>
      <c r="C267" s="109"/>
      <c r="D267" s="146"/>
      <c r="E267" s="10" t="s">
        <v>46</v>
      </c>
      <c r="F267" s="109"/>
      <c r="G267" s="169"/>
      <c r="H267" s="153"/>
      <c r="I267" s="193"/>
      <c r="J267" s="91" t="str" cm="1">
        <f t="array" ref="J267">NomeDaCor(A267)</f>
        <v>Verde</v>
      </c>
      <c r="K267" s="450" t="str" cm="1">
        <f t="array" ref="K267">ExtrairHiperlink(D267)</f>
        <v>https://intra.senado.leg.br/sigad/novo/protocolo/impressao.asp?cod_protocolo=4479729&amp;area=processo</v>
      </c>
      <c r="L267" t="str" cm="1">
        <f t="array" ref="L267">ExtrairHiperlink(E267)</f>
        <v>https://intra.senado.leg.br/sigad/novo/protocolo/impressao.asp?area=processo&amp;cod_protocolo=4483965&amp;cod_frente_verso=&amp;cod_juntada=&amp;txt_funcao=</v>
      </c>
    </row>
    <row r="268" spans="1:12" ht="60" x14ac:dyDescent="0.25">
      <c r="A268" s="228"/>
      <c r="B268" s="105">
        <v>45905</v>
      </c>
      <c r="C268" s="107" t="s">
        <v>97</v>
      </c>
      <c r="D268" s="132" t="s">
        <v>515</v>
      </c>
      <c r="E268" s="2" t="s">
        <v>516</v>
      </c>
      <c r="F268" s="107" t="s">
        <v>517</v>
      </c>
      <c r="G268" s="169"/>
      <c r="H268" s="153"/>
      <c r="I268" s="193"/>
      <c r="J268" s="91" t="str" cm="1">
        <f t="array" ref="J268">NomeDaCor(A268)</f>
        <v>Verde</v>
      </c>
      <c r="K268" s="450" t="str" cm="1">
        <f t="array" ref="K268">ExtrairHiperlink(D268)</f>
        <v>https://intra.senado.leg.br/sigad/novo/protocolo/impressao.asp?cod_protocolo=4478399&amp;area=processo</v>
      </c>
      <c r="L268" t="str" cm="1">
        <f t="array" ref="L268">ExtrairHiperlink(E268)</f>
        <v>https://intra.senado.leg.br/sigad/novo/protocolo/impressao.asp?area=processo&amp;cod_protocolo=4483968&amp;cod_frente_verso=&amp;cod_juntada=&amp;txt_funcao=</v>
      </c>
    </row>
    <row r="269" spans="1:12" ht="81" x14ac:dyDescent="0.25">
      <c r="A269" s="228"/>
      <c r="B269" s="106"/>
      <c r="C269" s="109"/>
      <c r="D269" s="146"/>
      <c r="E269" s="7" t="s">
        <v>441</v>
      </c>
      <c r="F269" s="109"/>
      <c r="G269" s="169"/>
      <c r="H269" s="153"/>
      <c r="I269" s="193"/>
      <c r="J269" s="91" t="str" cm="1">
        <f t="array" ref="J269">NomeDaCor(A269)</f>
        <v>Verde</v>
      </c>
      <c r="K269" s="450" t="str" cm="1">
        <f t="array" ref="K269">ExtrairHiperlink(D269)</f>
        <v>https://intra.senado.leg.br/sigad/novo/protocolo/impressao.asp?cod_protocolo=4478399&amp;area=processo</v>
      </c>
      <c r="L269" t="str" cm="1">
        <f t="array" ref="L269">ExtrairHiperlink(E269)</f>
        <v>https://intra.senado.leg.br/sigad/novo/protocolo/impressao.asp?area=processo&amp;cod_protocolo=4483968&amp;cod_frente_verso=&amp;cod_juntada=&amp;txt_funcao=</v>
      </c>
    </row>
    <row r="270" spans="1:12" ht="60" x14ac:dyDescent="0.25">
      <c r="A270" s="269"/>
      <c r="B270" s="105">
        <v>45728</v>
      </c>
      <c r="C270" s="145" t="s">
        <v>114</v>
      </c>
      <c r="D270" s="132" t="s">
        <v>115</v>
      </c>
      <c r="E270" s="2" t="s">
        <v>116</v>
      </c>
      <c r="F270" s="107" t="s">
        <v>518</v>
      </c>
      <c r="G270" s="147" t="s">
        <v>519</v>
      </c>
      <c r="H270" s="92"/>
      <c r="I270" s="185" t="s">
        <v>508</v>
      </c>
      <c r="J270" s="91" t="str" cm="1">
        <f t="array" ref="J270">NomeDaCor(A270)</f>
        <v>Amarelo</v>
      </c>
      <c r="K270" s="450" t="str" cm="1">
        <f t="array" ref="K270">ExtrairHiperlink(D270)</f>
        <v>https://intra.senado.leg.br/sigad/novo/protocolo/impressao.asp?cod_protocolo=4269985&amp;area=processo</v>
      </c>
      <c r="L270" t="str" cm="1">
        <f t="array" ref="L270">ExtrairHiperlink(E270)</f>
        <v>https://intra.senado.leg.br/sigad/novo/protocolo/impressao.asp?area=processo&amp;cod_protocolo=4269913&amp;cod_frente_verso=&amp;cod_juntada=&amp;txt_funcao=</v>
      </c>
    </row>
    <row r="271" spans="1:12" ht="81" x14ac:dyDescent="0.25">
      <c r="A271" s="270"/>
      <c r="B271" s="106"/>
      <c r="C271" s="109"/>
      <c r="D271" s="146"/>
      <c r="E271" s="7" t="s">
        <v>441</v>
      </c>
      <c r="F271" s="142"/>
      <c r="G271" s="169"/>
      <c r="H271" s="153"/>
      <c r="I271" s="193"/>
      <c r="J271" s="91" t="str" cm="1">
        <f t="array" ref="J271">NomeDaCor(A271)</f>
        <v>Amarelo</v>
      </c>
      <c r="K271" s="450" t="str" cm="1">
        <f t="array" ref="K271">ExtrairHiperlink(D271)</f>
        <v>https://intra.senado.leg.br/sigad/novo/protocolo/impressao.asp?cod_protocolo=4269985&amp;area=processo</v>
      </c>
      <c r="L271" t="str" cm="1">
        <f t="array" ref="L271">ExtrairHiperlink(E271)</f>
        <v>https://intra.senado.leg.br/sigad/novo/protocolo/impressao.asp?area=processo&amp;cod_protocolo=4269913&amp;cod_frente_verso=&amp;cod_juntada=&amp;txt_funcao=</v>
      </c>
    </row>
    <row r="272" spans="1:12" ht="60" x14ac:dyDescent="0.25">
      <c r="A272" s="270"/>
      <c r="B272" s="105">
        <v>45895</v>
      </c>
      <c r="C272" s="107" t="s">
        <v>476</v>
      </c>
      <c r="D272" s="132" t="s">
        <v>477</v>
      </c>
      <c r="E272" s="2" t="s">
        <v>478</v>
      </c>
      <c r="F272" s="142"/>
      <c r="G272" s="169"/>
      <c r="H272" s="153"/>
      <c r="I272" s="193"/>
      <c r="J272" s="91" t="str" cm="1">
        <f t="array" ref="J272">NomeDaCor(A272)</f>
        <v>Amarelo</v>
      </c>
      <c r="K272" s="450" t="str" cm="1">
        <f t="array" ref="K272">ExtrairHiperlink(D272)</f>
        <v>https://intra.senado.leg.br/sigad/novo/protocolo/impressao.asp?cod_protocolo=4465131&amp;area=processo</v>
      </c>
      <c r="L272" t="str" cm="1">
        <f t="array" ref="L272">ExtrairHiperlink(E272)</f>
        <v>https://intra.senado.leg.br/sigad/novo/protocolo/impressao.asp?area=processo&amp;cod_protocolo=4469345&amp;cod_frente_verso=&amp;cod_juntada=&amp;txt_funcao=</v>
      </c>
    </row>
    <row r="273" spans="1:12" ht="81" x14ac:dyDescent="0.25">
      <c r="A273" s="271"/>
      <c r="B273" s="106"/>
      <c r="C273" s="109"/>
      <c r="D273" s="146"/>
      <c r="E273" s="7" t="s">
        <v>441</v>
      </c>
      <c r="F273" s="109"/>
      <c r="G273" s="171"/>
      <c r="H273" s="93"/>
      <c r="I273" s="186"/>
      <c r="J273" s="91" t="str" cm="1">
        <f t="array" ref="J273">NomeDaCor(A273)</f>
        <v>Amarelo</v>
      </c>
      <c r="K273" s="450" t="str" cm="1">
        <f t="array" ref="K273">ExtrairHiperlink(D273)</f>
        <v>https://intra.senado.leg.br/sigad/novo/protocolo/impressao.asp?cod_protocolo=4465131&amp;area=processo</v>
      </c>
      <c r="L273" t="str" cm="1">
        <f t="array" ref="L273">ExtrairHiperlink(E273)</f>
        <v>https://intra.senado.leg.br/sigad/novo/protocolo/impressao.asp?area=processo&amp;cod_protocolo=4469345&amp;cod_frente_verso=&amp;cod_juntada=&amp;txt_funcao=</v>
      </c>
    </row>
    <row r="274" spans="1:12" ht="60" x14ac:dyDescent="0.25">
      <c r="A274" s="138"/>
      <c r="B274" s="105">
        <v>45692</v>
      </c>
      <c r="C274" s="107" t="s">
        <v>55</v>
      </c>
      <c r="D274" s="132" t="s">
        <v>137</v>
      </c>
      <c r="E274" s="2" t="s">
        <v>138</v>
      </c>
      <c r="F274" s="107" t="s">
        <v>520</v>
      </c>
      <c r="G274" s="147" t="s">
        <v>521</v>
      </c>
      <c r="H274" s="92"/>
      <c r="I274" s="185" t="s">
        <v>508</v>
      </c>
      <c r="J274" s="91" t="str" cm="1">
        <f t="array" ref="J274">NomeDaCor(A274)</f>
        <v>Roxo</v>
      </c>
      <c r="K274" s="450" t="str" cm="1">
        <f t="array" ref="K274">ExtrairHiperlink(D274)</f>
        <v>https://intra.senado.leg.br/sigad/novo/protocolo/impressao.asp?cod_protocolo=4228774&amp;area=processo</v>
      </c>
      <c r="L274" t="str" cm="1">
        <f t="array" ref="L274">ExtrairHiperlink(E274)</f>
        <v>https://intra.senado.leg.br/sigad/novo/protocolo/impressao.asp?cod_protocolo=4241698&amp;area=documento</v>
      </c>
    </row>
    <row r="275" spans="1:12" ht="81" x14ac:dyDescent="0.25">
      <c r="A275" s="139"/>
      <c r="B275" s="106"/>
      <c r="C275" s="109"/>
      <c r="D275" s="146"/>
      <c r="E275" s="7" t="s">
        <v>441</v>
      </c>
      <c r="F275" s="108"/>
      <c r="G275" s="169"/>
      <c r="H275" s="93"/>
      <c r="I275" s="186"/>
      <c r="J275" s="91" t="str" cm="1">
        <f t="array" ref="J275">NomeDaCor(A275)</f>
        <v>Roxo</v>
      </c>
      <c r="K275" s="450" t="str" cm="1">
        <f t="array" ref="K275">ExtrairHiperlink(D275)</f>
        <v>https://intra.senado.leg.br/sigad/novo/protocolo/impressao.asp?cod_protocolo=4228774&amp;area=processo</v>
      </c>
      <c r="L275" t="str" cm="1">
        <f t="array" ref="L275">ExtrairHiperlink(E275)</f>
        <v>https://intra.senado.leg.br/sigad/novo/protocolo/impressao.asp?cod_protocolo=4241698&amp;area=documento</v>
      </c>
    </row>
    <row r="276" spans="1:12" ht="60" x14ac:dyDescent="0.25">
      <c r="A276" s="77"/>
      <c r="B276" s="105">
        <v>45707</v>
      </c>
      <c r="C276" s="145" t="s">
        <v>522</v>
      </c>
      <c r="D276" s="132" t="s">
        <v>523</v>
      </c>
      <c r="E276" s="65" t="s">
        <v>524</v>
      </c>
      <c r="F276" s="107" t="s">
        <v>525</v>
      </c>
      <c r="G276" s="169"/>
      <c r="H276" s="92"/>
      <c r="I276" s="185" t="s">
        <v>526</v>
      </c>
      <c r="J276" s="91" t="str" cm="1">
        <f t="array" ref="J276">NomeDaCor(A276)</f>
        <v>Roxo</v>
      </c>
      <c r="K276" s="450" t="str" cm="1">
        <f t="array" ref="K276">ExtrairHiperlink(D276)</f>
        <v>https://intra.senado.leg.br/sigad/novo/protocolo/impressao.asp?cod_protocolo=4496323&amp;area=processo</v>
      </c>
      <c r="L276" t="str" cm="1">
        <f t="array" ref="L276">ExtrairHiperlink(E276)</f>
        <v>https://intra.senado.leg.br/sigad/visualizador/PdfJs/web/viewer.html?cod_protocolo=4496620&amp;cod_pagina=&amp;cod_usuario=76880&amp;cod_orgao=9694&amp;token=WE940VOC05JAXAG</v>
      </c>
    </row>
    <row r="277" spans="1:12" ht="81" x14ac:dyDescent="0.25">
      <c r="A277" s="77"/>
      <c r="B277" s="106"/>
      <c r="C277" s="109"/>
      <c r="D277" s="146"/>
      <c r="E277" s="78" t="s">
        <v>441</v>
      </c>
      <c r="F277" s="108"/>
      <c r="G277" s="171"/>
      <c r="H277" s="93"/>
      <c r="I277" s="186"/>
      <c r="J277" s="91" t="str" cm="1">
        <f t="array" ref="J277">NomeDaCor(A277)</f>
        <v>Roxo</v>
      </c>
      <c r="K277" s="450" t="str" cm="1">
        <f t="array" ref="K277">ExtrairHiperlink(D277)</f>
        <v>https://intra.senado.leg.br/sigad/novo/protocolo/impressao.asp?cod_protocolo=4496323&amp;area=processo</v>
      </c>
      <c r="L277" t="str" cm="1">
        <f t="array" ref="L277">ExtrairHiperlink(E277)</f>
        <v>https://intra.senado.leg.br/sigad/visualizador/PdfJs/web/viewer.html?cod_protocolo=4496620&amp;cod_pagina=&amp;cod_usuario=76880&amp;cod_orgao=9694&amp;token=WE940VOC05JAXAG</v>
      </c>
    </row>
    <row r="278" spans="1:12" ht="60" x14ac:dyDescent="0.25">
      <c r="A278" s="114" t="s">
        <v>18</v>
      </c>
      <c r="B278" s="155">
        <v>45918</v>
      </c>
      <c r="C278" s="156" t="s">
        <v>527</v>
      </c>
      <c r="D278" s="157" t="s">
        <v>528</v>
      </c>
      <c r="E278" s="5" t="s">
        <v>529</v>
      </c>
      <c r="F278" s="156" t="s">
        <v>530</v>
      </c>
      <c r="G278" s="126" t="s">
        <v>531</v>
      </c>
      <c r="H278" s="128"/>
      <c r="I278" s="151" t="s">
        <v>24</v>
      </c>
      <c r="J278" s="91" t="str" cm="1">
        <f t="array" ref="J278">NomeDaCor(A278)</f>
        <v>Preto</v>
      </c>
      <c r="K278" s="450" t="str" cm="1">
        <f t="array" ref="K278">ExtrairHiperlink(D278)</f>
        <v>https://intra.senado.leg.br/sigad/novo/protocolo/impressao.asp?cod_protocolo=4495486</v>
      </c>
      <c r="L278" t="str" cm="1">
        <f t="array" ref="L278">ExtrairHiperlink(E278)</f>
        <v>https://intra.senado.leg.br/sigad/visualizador/PdfJs/web/viewer.html?cod_protocolo=4497565&amp;cod_pagina=&amp;cod_usuario=76880&amp;cod_orgao=9694&amp;token=T0EYQRR2VCDJYTY</v>
      </c>
    </row>
    <row r="279" spans="1:12" ht="81" x14ac:dyDescent="0.25">
      <c r="A279" s="115"/>
      <c r="B279" s="117"/>
      <c r="C279" s="119"/>
      <c r="D279" s="158"/>
      <c r="E279" s="69" t="s">
        <v>25</v>
      </c>
      <c r="F279" s="119"/>
      <c r="G279" s="126"/>
      <c r="H279" s="128"/>
      <c r="I279" s="129"/>
      <c r="J279" s="91" t="str" cm="1">
        <f t="array" ref="J279">NomeDaCor(A279)</f>
        <v>Preto</v>
      </c>
      <c r="K279" s="450" t="str" cm="1">
        <f t="array" ref="K279">ExtrairHiperlink(D279)</f>
        <v>https://intra.senado.leg.br/sigad/novo/protocolo/impressao.asp?cod_protocolo=4495486</v>
      </c>
      <c r="L279" t="str" cm="1">
        <f t="array" ref="L279">ExtrairHiperlink(E279)</f>
        <v>https://intra.senado.leg.br/sigad/visualizador/PdfJs/web/viewer.html?cod_protocolo=4497565&amp;cod_pagina=&amp;cod_usuario=76880&amp;cod_orgao=9694&amp;token=T0EYQRR2VCDJYTY</v>
      </c>
    </row>
    <row r="280" spans="1:12" ht="60" x14ac:dyDescent="0.25">
      <c r="A280" s="136"/>
      <c r="B280" s="105">
        <v>45693</v>
      </c>
      <c r="C280" s="107" t="s">
        <v>63</v>
      </c>
      <c r="D280" s="132" t="s">
        <v>38</v>
      </c>
      <c r="E280" s="2" t="s">
        <v>39</v>
      </c>
      <c r="F280" s="107" t="s">
        <v>532</v>
      </c>
      <c r="G280" s="147" t="s">
        <v>533</v>
      </c>
      <c r="H280" s="92"/>
      <c r="I280" s="185" t="s">
        <v>508</v>
      </c>
      <c r="J280" s="91" t="str" cm="1">
        <f t="array" ref="J280">NomeDaCor(A280)</f>
        <v>Azul</v>
      </c>
      <c r="K280" s="450" t="str" cm="1">
        <f t="array" ref="K280">ExtrairHiperlink(D280)</f>
        <v>https://intra.senado.leg.br/sigad/novo/protocolo/impressao.asp?cod_protocolo=4227195</v>
      </c>
      <c r="L280" t="str" cm="1">
        <f t="array" ref="L280">ExtrairHiperlink(E280)</f>
        <v>https://intra.senado.leg.br/sigad/novo/protocolo/impressao.asp?area=processo&amp;cod_protocolo=4236444&amp;cod_frente_verso=&amp;cod_juntada=&amp;txt_funcao=</v>
      </c>
    </row>
    <row r="281" spans="1:12" ht="81" x14ac:dyDescent="0.25">
      <c r="A281" s="174"/>
      <c r="B281" s="106"/>
      <c r="C281" s="109"/>
      <c r="D281" s="146"/>
      <c r="E281" s="7" t="s">
        <v>441</v>
      </c>
      <c r="F281" s="108"/>
      <c r="G281" s="111"/>
      <c r="H281" s="153"/>
      <c r="I281" s="193"/>
      <c r="J281" s="91" t="str" cm="1">
        <f t="array" ref="J281">NomeDaCor(A281)</f>
        <v>Azul</v>
      </c>
      <c r="K281" s="450" t="str" cm="1">
        <f t="array" ref="K281">ExtrairHiperlink(D281)</f>
        <v>https://intra.senado.leg.br/sigad/novo/protocolo/impressao.asp?cod_protocolo=4227195</v>
      </c>
      <c r="L281" t="str" cm="1">
        <f t="array" ref="L281">ExtrairHiperlink(E281)</f>
        <v>https://intra.senado.leg.br/sigad/novo/protocolo/impressao.asp?area=processo&amp;cod_protocolo=4236444&amp;cod_frente_verso=&amp;cod_juntada=&amp;txt_funcao=</v>
      </c>
    </row>
    <row r="282" spans="1:12" ht="60" x14ac:dyDescent="0.25">
      <c r="A282" s="174"/>
      <c r="B282" s="105">
        <v>45895</v>
      </c>
      <c r="C282" s="107" t="s">
        <v>476</v>
      </c>
      <c r="D282" s="132" t="s">
        <v>477</v>
      </c>
      <c r="E282" s="2" t="s">
        <v>478</v>
      </c>
      <c r="F282" s="107" t="s">
        <v>534</v>
      </c>
      <c r="G282" s="147" t="s">
        <v>535</v>
      </c>
      <c r="H282" s="153"/>
      <c r="I282" s="193"/>
      <c r="J282" s="91" t="str" cm="1">
        <f t="array" ref="J282">NomeDaCor(A282)</f>
        <v>Azul</v>
      </c>
      <c r="K282" s="450" t="str" cm="1">
        <f t="array" ref="K282">ExtrairHiperlink(D282)</f>
        <v>https://intra.senado.leg.br/sigad/novo/protocolo/impressao.asp?cod_protocolo=4465131&amp;area=processo</v>
      </c>
      <c r="L282" t="str" cm="1">
        <f t="array" ref="L282">ExtrairHiperlink(E282)</f>
        <v>https://intra.senado.leg.br/sigad/novo/protocolo/impressao.asp?area=processo&amp;cod_protocolo=4469345&amp;cod_frente_verso=&amp;cod_juntada=&amp;txt_funcao=</v>
      </c>
    </row>
    <row r="283" spans="1:12" ht="81" x14ac:dyDescent="0.25">
      <c r="A283" s="174"/>
      <c r="B283" s="106"/>
      <c r="C283" s="109"/>
      <c r="D283" s="146"/>
      <c r="E283" s="7" t="s">
        <v>441</v>
      </c>
      <c r="F283" s="108"/>
      <c r="G283" s="111"/>
      <c r="H283" s="153"/>
      <c r="I283" s="193"/>
      <c r="J283" s="91" t="str" cm="1">
        <f t="array" ref="J283">NomeDaCor(A283)</f>
        <v>Azul</v>
      </c>
      <c r="K283" s="450" t="str" cm="1">
        <f t="array" ref="K283">ExtrairHiperlink(D283)</f>
        <v>https://intra.senado.leg.br/sigad/novo/protocolo/impressao.asp?cod_protocolo=4465131&amp;area=processo</v>
      </c>
      <c r="L283" t="str" cm="1">
        <f t="array" ref="L283">ExtrairHiperlink(E283)</f>
        <v>https://intra.senado.leg.br/sigad/novo/protocolo/impressao.asp?area=processo&amp;cod_protocolo=4469345&amp;cod_frente_verso=&amp;cod_juntada=&amp;txt_funcao=</v>
      </c>
    </row>
    <row r="284" spans="1:12" ht="45" x14ac:dyDescent="0.25">
      <c r="A284" s="174"/>
      <c r="B284" s="105">
        <v>45923</v>
      </c>
      <c r="C284" s="107" t="s">
        <v>417</v>
      </c>
      <c r="D284" s="132" t="s">
        <v>536</v>
      </c>
      <c r="E284" s="2" t="s">
        <v>537</v>
      </c>
      <c r="F284" s="107" t="s">
        <v>538</v>
      </c>
      <c r="G284" s="147" t="s">
        <v>535</v>
      </c>
      <c r="H284" s="153"/>
      <c r="I284" s="193"/>
      <c r="J284" s="91" t="str" cm="1">
        <f t="array" ref="J284">NomeDaCor(A284)</f>
        <v>Azul</v>
      </c>
      <c r="K284" s="450" t="str" cm="1">
        <f t="array" ref="K284">ExtrairHiperlink(D284)</f>
        <v>https://intra.senado.leg.br/sigad/novo/protocolo/impressao.asp?cod_protocolo=4465131&amp;area=processo</v>
      </c>
      <c r="L284" t="str" cm="1">
        <f t="array" ref="L284">ExtrairHiperlink(E284)</f>
        <v>https://intra.senado.leg.br/sigad/visualizador/PdfJs/web/viewer.html?cod_protocolo=4499674&amp;cod_pagina=&amp;cod_usuario=76880&amp;cod_orgao=9694&amp;token=LNJ8T2I36H28RWC</v>
      </c>
    </row>
    <row r="285" spans="1:12" ht="81" x14ac:dyDescent="0.25">
      <c r="A285" s="174"/>
      <c r="B285" s="131"/>
      <c r="C285" s="108"/>
      <c r="D285" s="133"/>
      <c r="E285" s="7" t="s">
        <v>441</v>
      </c>
      <c r="F285" s="134"/>
      <c r="G285" s="111"/>
      <c r="H285" s="153"/>
      <c r="I285" s="193"/>
      <c r="J285" s="91" t="str" cm="1">
        <f t="array" ref="J285">NomeDaCor(A285)</f>
        <v>Azul</v>
      </c>
      <c r="K285" s="450" t="str" cm="1">
        <f t="array" ref="K285">ExtrairHiperlink(D285)</f>
        <v>https://intra.senado.leg.br/sigad/novo/protocolo/impressao.asp?cod_protocolo=4465131&amp;area=processo</v>
      </c>
      <c r="L285" t="str" cm="1">
        <f t="array" ref="L285">ExtrairHiperlink(E285)</f>
        <v>https://intra.senado.leg.br/sigad/visualizador/PdfJs/web/viewer.html?cod_protocolo=4499674&amp;cod_pagina=&amp;cod_usuario=76880&amp;cod_orgao=9694&amp;token=LNJ8T2I36H28RWC</v>
      </c>
    </row>
    <row r="286" spans="1:12" ht="60" x14ac:dyDescent="0.25">
      <c r="A286" s="174"/>
      <c r="B286" s="105">
        <v>45838</v>
      </c>
      <c r="C286" s="107" t="s">
        <v>539</v>
      </c>
      <c r="D286" s="132" t="s">
        <v>540</v>
      </c>
      <c r="E286" s="3" t="s">
        <v>541</v>
      </c>
      <c r="F286" s="107" t="s">
        <v>542</v>
      </c>
      <c r="G286" s="147" t="s">
        <v>543</v>
      </c>
      <c r="H286" s="153"/>
      <c r="I286" s="193"/>
      <c r="J286" s="91" t="str" cm="1">
        <f t="array" ref="J286">NomeDaCor(A286)</f>
        <v>Azul</v>
      </c>
      <c r="K286" s="450" t="str" cm="1">
        <f t="array" ref="K286">ExtrairHiperlink(D286)</f>
        <v>https://intra.senado.leg.br/sigad/novo/protocolo/impressao.asp?cod_protocolo=4403398&amp;area=processo</v>
      </c>
      <c r="L286" t="str" cm="1">
        <f t="array" ref="L286">ExtrairHiperlink(E286)</f>
        <v>https://intra.senado.leg.br/sigad/novo/protocolo/impressao.asp?area=processo&amp;cod_protocolo=4404676&amp;cod_frente_verso=&amp;cod_juntada=&amp;txt_funcao=</v>
      </c>
    </row>
    <row r="287" spans="1:12" ht="81" x14ac:dyDescent="0.25">
      <c r="A287" s="174"/>
      <c r="B287" s="106"/>
      <c r="C287" s="109"/>
      <c r="D287" s="146"/>
      <c r="E287" s="7" t="s">
        <v>441</v>
      </c>
      <c r="F287" s="108"/>
      <c r="G287" s="169"/>
      <c r="H287" s="153"/>
      <c r="I287" s="193"/>
      <c r="J287" s="91" t="str" cm="1">
        <f t="array" ref="J287">NomeDaCor(A287)</f>
        <v>Azul</v>
      </c>
      <c r="K287" s="450" t="str" cm="1">
        <f t="array" ref="K287">ExtrairHiperlink(D287)</f>
        <v>https://intra.senado.leg.br/sigad/novo/protocolo/impressao.asp?cod_protocolo=4403398&amp;area=processo</v>
      </c>
      <c r="L287" t="str" cm="1">
        <f t="array" ref="L287">ExtrairHiperlink(E287)</f>
        <v>https://intra.senado.leg.br/sigad/novo/protocolo/impressao.asp?area=processo&amp;cod_protocolo=4404676&amp;cod_frente_verso=&amp;cod_juntada=&amp;txt_funcao=</v>
      </c>
    </row>
    <row r="288" spans="1:12" ht="60" x14ac:dyDescent="0.25">
      <c r="A288" s="174"/>
      <c r="B288" s="105">
        <v>45891</v>
      </c>
      <c r="C288" s="107" t="s">
        <v>97</v>
      </c>
      <c r="D288" s="132" t="s">
        <v>544</v>
      </c>
      <c r="E288" s="3" t="s">
        <v>545</v>
      </c>
      <c r="F288" s="107" t="s">
        <v>546</v>
      </c>
      <c r="G288" s="169"/>
      <c r="H288" s="153"/>
      <c r="I288" s="193"/>
      <c r="J288" s="91" t="str" cm="1">
        <f t="array" ref="J288">NomeDaCor(A288)</f>
        <v>Azul</v>
      </c>
      <c r="K288" s="450" t="str" cm="1">
        <f t="array" ref="K288">ExtrairHiperlink(D288)</f>
        <v>https://intra.senado.leg.br/sigad/novo/protocolo/impressao.asp?cod_protocolo=4461593&amp;area=processo</v>
      </c>
      <c r="L288" t="str" cm="1">
        <f t="array" ref="L288">ExtrairHiperlink(E288)</f>
        <v>https://intra.senado.leg.br/sigad/novo/protocolo/impressao.asp?area=processo&amp;cod_protocolo=4469356&amp;cod_frente_verso=&amp;cod_juntada=&amp;txt_funcao=</v>
      </c>
    </row>
    <row r="289" spans="1:12" ht="81" x14ac:dyDescent="0.25">
      <c r="A289" s="137"/>
      <c r="B289" s="106"/>
      <c r="C289" s="109"/>
      <c r="D289" s="146"/>
      <c r="E289" s="7" t="s">
        <v>441</v>
      </c>
      <c r="F289" s="108"/>
      <c r="G289" s="171"/>
      <c r="H289" s="93"/>
      <c r="I289" s="186"/>
      <c r="J289" s="91" t="str" cm="1">
        <f t="array" ref="J289">NomeDaCor(A289)</f>
        <v>Azul</v>
      </c>
      <c r="K289" s="450" t="str" cm="1">
        <f t="array" ref="K289">ExtrairHiperlink(D289)</f>
        <v>https://intra.senado.leg.br/sigad/novo/protocolo/impressao.asp?cod_protocolo=4461593&amp;area=processo</v>
      </c>
      <c r="L289" t="str" cm="1">
        <f t="array" ref="L289">ExtrairHiperlink(E289)</f>
        <v>https://intra.senado.leg.br/sigad/novo/protocolo/impressao.asp?area=processo&amp;cod_protocolo=4469356&amp;cod_frente_verso=&amp;cod_juntada=&amp;txt_funcao=</v>
      </c>
    </row>
    <row r="290" spans="1:12" ht="45" x14ac:dyDescent="0.25">
      <c r="A290" s="114" t="s">
        <v>18</v>
      </c>
      <c r="B290" s="155">
        <v>45918</v>
      </c>
      <c r="C290" s="156" t="s">
        <v>547</v>
      </c>
      <c r="D290" s="268" t="s">
        <v>548</v>
      </c>
      <c r="E290" s="2" t="s">
        <v>549</v>
      </c>
      <c r="F290" s="124" t="s">
        <v>550</v>
      </c>
      <c r="G290" s="126" t="s">
        <v>551</v>
      </c>
      <c r="H290" s="128"/>
      <c r="I290" s="261"/>
      <c r="J290" s="91" t="str" cm="1">
        <f t="array" ref="J290">NomeDaCor(A290)</f>
        <v>Preto</v>
      </c>
      <c r="K290" s="450" t="str" cm="1">
        <f t="array" ref="K290">ExtrairHiperlink(D290)</f>
        <v>https://intra.senado.leg.br/sigad/novo/protocolo/impressao.asp?cod_protocolo=4495813&amp;area=processo</v>
      </c>
      <c r="L290" t="str" cm="1">
        <f t="array" ref="L290">ExtrairHiperlink(E290)</f>
        <v>https://intra.senado.leg.br/sigad/visualizador/PdfJs/web/viewer.html?cod_protocolo=4501813&amp;cod_pagina=&amp;cod_usuario=76880&amp;cod_orgao=9694&amp;token=6TG3ELSB78B1I01</v>
      </c>
    </row>
    <row r="291" spans="1:12" ht="54" x14ac:dyDescent="0.25">
      <c r="A291" s="223"/>
      <c r="B291" s="224"/>
      <c r="C291" s="161"/>
      <c r="D291" s="268"/>
      <c r="E291" s="10" t="s">
        <v>552</v>
      </c>
      <c r="F291" s="124"/>
      <c r="G291" s="126"/>
      <c r="H291" s="128"/>
      <c r="I291" s="262"/>
      <c r="J291" s="91" t="str" cm="1">
        <f t="array" ref="J291">NomeDaCor(A291)</f>
        <v>Preto</v>
      </c>
      <c r="K291" s="450" t="str" cm="1">
        <f t="array" ref="K291">ExtrairHiperlink(D291)</f>
        <v>https://intra.senado.leg.br/sigad/novo/protocolo/impressao.asp?cod_protocolo=4495813&amp;area=processo</v>
      </c>
      <c r="L291" t="str" cm="1">
        <f t="array" ref="L291">ExtrairHiperlink(E291)</f>
        <v>https://intra.senado.leg.br/sigad/visualizador/PdfJs/web/viewer.html?cod_protocolo=4501813&amp;cod_pagina=&amp;cod_usuario=76880&amp;cod_orgao=9694&amp;token=6TG3ELSB78B1I01</v>
      </c>
    </row>
    <row r="292" spans="1:12" ht="60" x14ac:dyDescent="0.25">
      <c r="A292" s="263"/>
      <c r="B292" s="105">
        <v>45692</v>
      </c>
      <c r="C292" s="107" t="s">
        <v>55</v>
      </c>
      <c r="D292" s="132" t="s">
        <v>137</v>
      </c>
      <c r="E292" s="2" t="s">
        <v>138</v>
      </c>
      <c r="F292" s="107" t="s">
        <v>553</v>
      </c>
      <c r="G292" s="266" t="s">
        <v>554</v>
      </c>
      <c r="H292" s="92"/>
      <c r="I292" s="185" t="s">
        <v>508</v>
      </c>
      <c r="J292" s="91" t="str" cm="1">
        <f t="array" ref="J292">NomeDaCor(A292)</f>
        <v>Verde</v>
      </c>
      <c r="K292" s="450" t="str" cm="1">
        <f t="array" ref="K292">ExtrairHiperlink(D292)</f>
        <v>https://intra.senado.leg.br/sigad/novo/protocolo/impressao.asp?cod_protocolo=4228774&amp;area=processo</v>
      </c>
      <c r="L292" t="str" cm="1">
        <f t="array" ref="L292">ExtrairHiperlink(E292)</f>
        <v>https://intra.senado.leg.br/sigad/novo/protocolo/impressao.asp?cod_protocolo=4241698&amp;area=documento</v>
      </c>
    </row>
    <row r="293" spans="1:12" ht="81" x14ac:dyDescent="0.25">
      <c r="A293" s="264"/>
      <c r="B293" s="106"/>
      <c r="C293" s="109"/>
      <c r="D293" s="146"/>
      <c r="E293" s="7" t="s">
        <v>441</v>
      </c>
      <c r="F293" s="134"/>
      <c r="G293" s="267"/>
      <c r="H293" s="153"/>
      <c r="I293" s="193"/>
      <c r="J293" s="91" t="str" cm="1">
        <f t="array" ref="J293">NomeDaCor(A293)</f>
        <v>Verde</v>
      </c>
      <c r="K293" s="450" t="str" cm="1">
        <f t="array" ref="K293">ExtrairHiperlink(D293)</f>
        <v>https://intra.senado.leg.br/sigad/novo/protocolo/impressao.asp?cod_protocolo=4228774&amp;area=processo</v>
      </c>
      <c r="L293" t="str" cm="1">
        <f t="array" ref="L293">ExtrairHiperlink(E293)</f>
        <v>https://intra.senado.leg.br/sigad/novo/protocolo/impressao.asp?cod_protocolo=4241698&amp;area=documento</v>
      </c>
    </row>
    <row r="294" spans="1:12" ht="60" x14ac:dyDescent="0.25">
      <c r="A294" s="264"/>
      <c r="B294" s="105">
        <v>45919</v>
      </c>
      <c r="C294" s="256" t="s">
        <v>555</v>
      </c>
      <c r="D294" s="209" t="s">
        <v>556</v>
      </c>
      <c r="E294" s="74" t="s">
        <v>557</v>
      </c>
      <c r="F294" s="210" t="s">
        <v>558</v>
      </c>
      <c r="G294" s="267"/>
      <c r="H294" s="153"/>
      <c r="I294" s="193"/>
      <c r="J294" s="91" t="str" cm="1">
        <f t="array" ref="J294">NomeDaCor(A294)</f>
        <v>Verde</v>
      </c>
      <c r="K294" s="450" t="str" cm="1">
        <f t="array" ref="K294">ExtrairHiperlink(D294)</f>
        <v>https://intra.senado.leg.br/sigad/novo/protocolo/impressao.asp?cod_protocolo=4465753&amp;area=processo</v>
      </c>
      <c r="L294" t="str" cm="1">
        <f t="array" ref="L294">ExtrairHiperlink(E294)</f>
        <v>https://intra.senado.leg.br/sigad/visualizador/PdfJs/web/viewer.html?cod_protocolo=4465807&amp;cod_pagina=&amp;cod_usuario=76880&amp;cod_orgao=9694&amp;token=UVYHBQR4KQXMA3P</v>
      </c>
    </row>
    <row r="295" spans="1:12" ht="81" x14ac:dyDescent="0.25">
      <c r="A295" s="265"/>
      <c r="B295" s="106"/>
      <c r="C295" s="257"/>
      <c r="D295" s="202"/>
      <c r="E295" s="7" t="s">
        <v>441</v>
      </c>
      <c r="F295" s="258"/>
      <c r="G295" s="267"/>
      <c r="H295" s="93"/>
      <c r="I295" s="186"/>
      <c r="J295" s="91" t="str" cm="1">
        <f t="array" ref="J295">NomeDaCor(A295)</f>
        <v>Verde</v>
      </c>
      <c r="K295" s="450" t="str" cm="1">
        <f t="array" ref="K295">ExtrairHiperlink(D295)</f>
        <v>https://intra.senado.leg.br/sigad/novo/protocolo/impressao.asp?cod_protocolo=4465753&amp;area=processo</v>
      </c>
      <c r="L295" t="str" cm="1">
        <f t="array" ref="L295">ExtrairHiperlink(E295)</f>
        <v>https://intra.senado.leg.br/sigad/visualizador/PdfJs/web/viewer.html?cod_protocolo=4465807&amp;cod_pagina=&amp;cod_usuario=76880&amp;cod_orgao=9694&amp;token=UVYHBQR4KQXMA3P</v>
      </c>
    </row>
    <row r="296" spans="1:12" ht="60" x14ac:dyDescent="0.25">
      <c r="A296" s="114" t="s">
        <v>18</v>
      </c>
      <c r="B296" s="116">
        <v>45919</v>
      </c>
      <c r="C296" s="118" t="s">
        <v>559</v>
      </c>
      <c r="D296" s="259" t="s">
        <v>560</v>
      </c>
      <c r="E296" s="66" t="s">
        <v>561</v>
      </c>
      <c r="F296" s="260" t="s">
        <v>562</v>
      </c>
      <c r="G296" s="181" t="s">
        <v>563</v>
      </c>
      <c r="H296" s="120"/>
      <c r="I296" s="129"/>
      <c r="J296" s="91" t="str" cm="1">
        <f t="array" ref="J296">NomeDaCor(A296)</f>
        <v>Preto</v>
      </c>
      <c r="K296" s="450" t="str" cm="1">
        <f t="array" ref="K296">ExtrairHiperlink(D296)</f>
        <v>https://intra.senado.leg.br/sigad/novo/protocolo/impressao.asp?cod_protocolo=4465753&amp;area=processo</v>
      </c>
      <c r="L296" t="str" cm="1">
        <f t="array" ref="L296">ExtrairHiperlink(E296)</f>
        <v>https://intra.senado.leg.br/sigad/visualizador/PdfJs/web/viewer.html?cod_protocolo=4499739&amp;cod_pagina=&amp;cod_usuario=76880&amp;cod_orgao=9694&amp;token=KUMYNDXJMPJ8APS</v>
      </c>
    </row>
    <row r="297" spans="1:12" ht="81" x14ac:dyDescent="0.25">
      <c r="A297" s="223"/>
      <c r="B297" s="176"/>
      <c r="C297" s="177"/>
      <c r="D297" s="242"/>
      <c r="E297" s="7" t="s">
        <v>441</v>
      </c>
      <c r="F297" s="191"/>
      <c r="G297" s="127"/>
      <c r="H297" s="182"/>
      <c r="I297" s="130"/>
      <c r="J297" s="91" t="str" cm="1">
        <f t="array" ref="J297">NomeDaCor(A297)</f>
        <v>Preto</v>
      </c>
      <c r="K297" s="450" t="str" cm="1">
        <f t="array" ref="K297">ExtrairHiperlink(D297)</f>
        <v>https://intra.senado.leg.br/sigad/novo/protocolo/impressao.asp?cod_protocolo=4465753&amp;area=processo</v>
      </c>
      <c r="L297" t="str" cm="1">
        <f t="array" ref="L297">ExtrairHiperlink(E297)</f>
        <v>https://intra.senado.leg.br/sigad/visualizador/PdfJs/web/viewer.html?cod_protocolo=4499739&amp;cod_pagina=&amp;cod_usuario=76880&amp;cod_orgao=9694&amp;token=KUMYNDXJMPJ8APS</v>
      </c>
    </row>
    <row r="298" spans="1:12" ht="60" x14ac:dyDescent="0.25">
      <c r="A298" s="114" t="s">
        <v>18</v>
      </c>
      <c r="B298" s="116">
        <v>45916</v>
      </c>
      <c r="C298" s="161" t="s">
        <v>564</v>
      </c>
      <c r="D298" s="178" t="s">
        <v>565</v>
      </c>
      <c r="E298" s="79" t="s">
        <v>566</v>
      </c>
      <c r="F298" s="118" t="s">
        <v>567</v>
      </c>
      <c r="G298" s="181" t="s">
        <v>568</v>
      </c>
      <c r="H298" s="120"/>
      <c r="I298" s="129" t="s">
        <v>569</v>
      </c>
      <c r="J298" s="91" t="str" cm="1">
        <f t="array" ref="J298">NomeDaCor(A298)</f>
        <v>Preto</v>
      </c>
      <c r="K298" s="450" t="str" cm="1">
        <f t="array" ref="K298">ExtrairHiperlink(D298)</f>
        <v>https://intra.senado.leg.br/sigad/novo/protocolo/impressao.asp?cod_protocolo=4491465&amp;area=processo</v>
      </c>
      <c r="L298" t="str" cm="1">
        <f t="array" ref="L298">ExtrairHiperlink(E298)</f>
        <v>https://intra.senado.leg.br/sigad/novo/protocolo/impressao.asp?cod_protocolo=4491726</v>
      </c>
    </row>
    <row r="299" spans="1:12" ht="81" x14ac:dyDescent="0.25">
      <c r="A299" s="115"/>
      <c r="B299" s="117"/>
      <c r="C299" s="119"/>
      <c r="D299" s="158"/>
      <c r="E299" s="7" t="s">
        <v>441</v>
      </c>
      <c r="F299" s="119"/>
      <c r="G299" s="149"/>
      <c r="H299" s="121"/>
      <c r="I299" s="129"/>
      <c r="J299" s="91" t="str" cm="1">
        <f t="array" ref="J299">NomeDaCor(A299)</f>
        <v>Preto</v>
      </c>
      <c r="K299" s="450" t="str" cm="1">
        <f t="array" ref="K299">ExtrairHiperlink(D299)</f>
        <v>https://intra.senado.leg.br/sigad/novo/protocolo/impressao.asp?cod_protocolo=4491465&amp;area=processo</v>
      </c>
      <c r="L299" t="str" cm="1">
        <f t="array" ref="L299">ExtrairHiperlink(E299)</f>
        <v>https://intra.senado.leg.br/sigad/novo/protocolo/impressao.asp?cod_protocolo=4491726</v>
      </c>
    </row>
    <row r="300" spans="1:12" ht="60" x14ac:dyDescent="0.25">
      <c r="A300" s="246"/>
      <c r="B300" s="105">
        <v>45895</v>
      </c>
      <c r="C300" s="107" t="s">
        <v>476</v>
      </c>
      <c r="D300" s="132" t="s">
        <v>477</v>
      </c>
      <c r="E300" s="2" t="s">
        <v>478</v>
      </c>
      <c r="F300" s="232" t="s">
        <v>570</v>
      </c>
      <c r="G300" s="251" t="s">
        <v>571</v>
      </c>
      <c r="H300" s="254"/>
      <c r="I300" s="185" t="s">
        <v>572</v>
      </c>
      <c r="J300" s="91" t="str" cm="1">
        <f t="array" ref="J300">NomeDaCor(A300)</f>
        <v>Roxo Escuro</v>
      </c>
      <c r="K300" s="450" t="str" cm="1">
        <f t="array" ref="K300">ExtrairHiperlink(D300)</f>
        <v>https://intra.senado.leg.br/sigad/novo/protocolo/impressao.asp?cod_protocolo=4465131&amp;area=processo</v>
      </c>
      <c r="L300" t="str" cm="1">
        <f t="array" ref="L300">ExtrairHiperlink(E300)</f>
        <v>https://intra.senado.leg.br/sigad/novo/protocolo/impressao.asp?area=processo&amp;cod_protocolo=4469345&amp;cod_frente_verso=&amp;cod_juntada=&amp;txt_funcao=</v>
      </c>
    </row>
    <row r="301" spans="1:12" ht="81" x14ac:dyDescent="0.25">
      <c r="A301" s="249"/>
      <c r="B301" s="106"/>
      <c r="C301" s="109"/>
      <c r="D301" s="146"/>
      <c r="E301" s="7" t="s">
        <v>441</v>
      </c>
      <c r="F301" s="233"/>
      <c r="G301" s="252"/>
      <c r="H301" s="255"/>
      <c r="I301" s="186"/>
      <c r="J301" s="91" t="str" cm="1">
        <f t="array" ref="J301">NomeDaCor(A301)</f>
        <v>Roxo Escuro</v>
      </c>
      <c r="K301" s="450" t="str" cm="1">
        <f t="array" ref="K301">ExtrairHiperlink(D301)</f>
        <v>https://intra.senado.leg.br/sigad/novo/protocolo/impressao.asp?cod_protocolo=4465131&amp;area=processo</v>
      </c>
      <c r="L301" t="str" cm="1">
        <f t="array" ref="L301">ExtrairHiperlink(E301)</f>
        <v>https://intra.senado.leg.br/sigad/novo/protocolo/impressao.asp?area=processo&amp;cod_protocolo=4469345&amp;cod_frente_verso=&amp;cod_juntada=&amp;txt_funcao=</v>
      </c>
    </row>
    <row r="302" spans="1:12" ht="45" x14ac:dyDescent="0.25">
      <c r="A302" s="246"/>
      <c r="B302" s="105">
        <v>45923</v>
      </c>
      <c r="C302" s="107" t="s">
        <v>417</v>
      </c>
      <c r="D302" s="132" t="s">
        <v>536</v>
      </c>
      <c r="E302" s="2" t="s">
        <v>537</v>
      </c>
      <c r="F302" s="232" t="s">
        <v>570</v>
      </c>
      <c r="G302" s="252"/>
      <c r="H302" s="80"/>
      <c r="I302" s="185" t="s">
        <v>572</v>
      </c>
      <c r="J302" s="91" t="str" cm="1">
        <f t="array" ref="J302">NomeDaCor(A302)</f>
        <v>Roxo Escuro</v>
      </c>
      <c r="K302" s="450" t="str" cm="1">
        <f t="array" ref="K302">ExtrairHiperlink(D302)</f>
        <v>https://intra.senado.leg.br/sigad/novo/protocolo/impressao.asp?cod_protocolo=4465131&amp;area=processo</v>
      </c>
      <c r="L302" t="str" cm="1">
        <f t="array" ref="L302">ExtrairHiperlink(E302)</f>
        <v>https://intra.senado.leg.br/sigad/visualizador/PdfJs/web/viewer.html?cod_protocolo=4499674&amp;cod_pagina=&amp;cod_usuario=76880&amp;cod_orgao=9694&amp;token=LNJ8T2I36H28RWC</v>
      </c>
    </row>
    <row r="303" spans="1:12" ht="81" x14ac:dyDescent="0.25">
      <c r="A303" s="249"/>
      <c r="B303" s="131"/>
      <c r="C303" s="108"/>
      <c r="D303" s="133"/>
      <c r="E303" s="7" t="s">
        <v>441</v>
      </c>
      <c r="F303" s="233"/>
      <c r="G303" s="253"/>
      <c r="H303" s="80"/>
      <c r="I303" s="186"/>
      <c r="J303" s="91" t="str" cm="1">
        <f t="array" ref="J303">NomeDaCor(A303)</f>
        <v>Roxo Escuro</v>
      </c>
      <c r="K303" s="450" t="str" cm="1">
        <f t="array" ref="K303">ExtrairHiperlink(D303)</f>
        <v>https://intra.senado.leg.br/sigad/novo/protocolo/impressao.asp?cod_protocolo=4465131&amp;area=processo</v>
      </c>
      <c r="L303" t="str" cm="1">
        <f t="array" ref="L303">ExtrairHiperlink(E303)</f>
        <v>https://intra.senado.leg.br/sigad/visualizador/PdfJs/web/viewer.html?cod_protocolo=4499674&amp;cod_pagina=&amp;cod_usuario=76880&amp;cod_orgao=9694&amp;token=LNJ8T2I36H28RWC</v>
      </c>
    </row>
    <row r="304" spans="1:12" ht="60" x14ac:dyDescent="0.25">
      <c r="A304" s="250"/>
      <c r="B304" s="105">
        <v>45693</v>
      </c>
      <c r="C304" s="107" t="s">
        <v>63</v>
      </c>
      <c r="D304" s="132" t="s">
        <v>38</v>
      </c>
      <c r="E304" s="2" t="s">
        <v>39</v>
      </c>
      <c r="F304" s="107" t="s">
        <v>573</v>
      </c>
      <c r="G304" s="147" t="s">
        <v>574</v>
      </c>
      <c r="H304" s="92"/>
      <c r="I304" s="185" t="s">
        <v>572</v>
      </c>
      <c r="J304" s="91" t="str" cm="1">
        <f t="array" ref="J304">NomeDaCor(A304)</f>
        <v>Verde</v>
      </c>
      <c r="K304" s="450" t="str" cm="1">
        <f t="array" ref="K304">ExtrairHiperlink(D304)</f>
        <v>https://intra.senado.leg.br/sigad/novo/protocolo/impressao.asp?cod_protocolo=4227195</v>
      </c>
      <c r="L304" t="str" cm="1">
        <f t="array" ref="L304">ExtrairHiperlink(E304)</f>
        <v>https://intra.senado.leg.br/sigad/novo/protocolo/impressao.asp?area=processo&amp;cod_protocolo=4236444&amp;cod_frente_verso=&amp;cod_juntada=&amp;txt_funcao=</v>
      </c>
    </row>
    <row r="305" spans="1:12" ht="81" x14ac:dyDescent="0.25">
      <c r="A305" s="140"/>
      <c r="B305" s="131"/>
      <c r="C305" s="109"/>
      <c r="D305" s="146"/>
      <c r="E305" s="7" t="s">
        <v>441</v>
      </c>
      <c r="F305" s="108"/>
      <c r="G305" s="111"/>
      <c r="H305" s="93"/>
      <c r="I305" s="186"/>
      <c r="J305" s="91" t="str" cm="1">
        <f t="array" ref="J305">NomeDaCor(A305)</f>
        <v>Verde</v>
      </c>
      <c r="K305" s="450" t="str" cm="1">
        <f t="array" ref="K305">ExtrairHiperlink(D305)</f>
        <v>https://intra.senado.leg.br/sigad/novo/protocolo/impressao.asp?cod_protocolo=4227195</v>
      </c>
      <c r="L305" t="str" cm="1">
        <f t="array" ref="L305">ExtrairHiperlink(E305)</f>
        <v>https://intra.senado.leg.br/sigad/novo/protocolo/impressao.asp?area=processo&amp;cod_protocolo=4236444&amp;cod_frente_verso=&amp;cod_juntada=&amp;txt_funcao=</v>
      </c>
    </row>
    <row r="306" spans="1:12" ht="60" x14ac:dyDescent="0.25">
      <c r="A306" s="246"/>
      <c r="B306" s="105">
        <v>45916</v>
      </c>
      <c r="C306" s="107" t="s">
        <v>575</v>
      </c>
      <c r="D306" s="132" t="s">
        <v>576</v>
      </c>
      <c r="E306" s="74" t="s">
        <v>577</v>
      </c>
      <c r="F306" s="107" t="s">
        <v>578</v>
      </c>
      <c r="G306" s="110">
        <v>45938</v>
      </c>
      <c r="H306" s="92"/>
      <c r="I306" s="185" t="s">
        <v>579</v>
      </c>
      <c r="J306" s="91" t="str" cm="1">
        <f t="array" ref="J306">NomeDaCor(A306)</f>
        <v>Roxo Escuro</v>
      </c>
      <c r="K306" s="450" t="str" cm="1">
        <f t="array" ref="K306">ExtrairHiperlink(D306)</f>
        <v>https://intra.senado.leg.br/sigad/novo/protocolo/impressao.asp?cod_protocolo=4227195</v>
      </c>
      <c r="L306" t="str" cm="1">
        <f t="array" ref="L306">ExtrairHiperlink(E306)</f>
        <v>https://intra.senado.leg.br/sigad/visualizador/PdfJs/web/viewer.html?cod_protocolo=4496789&amp;cod_pagina=&amp;cod_usuario=76880&amp;cod_orgao=9694&amp;token=H9WISM8JT8IQJL8</v>
      </c>
    </row>
    <row r="307" spans="1:12" ht="81" x14ac:dyDescent="0.25">
      <c r="A307" s="249"/>
      <c r="B307" s="106"/>
      <c r="C307" s="109"/>
      <c r="D307" s="146"/>
      <c r="E307" s="10" t="s">
        <v>46</v>
      </c>
      <c r="F307" s="108"/>
      <c r="G307" s="111"/>
      <c r="H307" s="93"/>
      <c r="I307" s="186"/>
      <c r="J307" s="91" t="str" cm="1">
        <f t="array" ref="J307">NomeDaCor(A307)</f>
        <v>Roxo Escuro</v>
      </c>
      <c r="K307" s="450" t="str" cm="1">
        <f t="array" ref="K307">ExtrairHiperlink(D307)</f>
        <v>https://intra.senado.leg.br/sigad/novo/protocolo/impressao.asp?cod_protocolo=4227195</v>
      </c>
      <c r="L307" t="str" cm="1">
        <f t="array" ref="L307">ExtrairHiperlink(E307)</f>
        <v>https://intra.senado.leg.br/sigad/visualizador/PdfJs/web/viewer.html?cod_protocolo=4496789&amp;cod_pagina=&amp;cod_usuario=76880&amp;cod_orgao=9694&amp;token=H9WISM8JT8IQJL8</v>
      </c>
    </row>
    <row r="308" spans="1:12" ht="60" x14ac:dyDescent="0.25">
      <c r="A308" s="92"/>
      <c r="B308" s="105">
        <v>45693</v>
      </c>
      <c r="C308" s="107" t="s">
        <v>63</v>
      </c>
      <c r="D308" s="132" t="s">
        <v>38</v>
      </c>
      <c r="E308" s="2" t="s">
        <v>39</v>
      </c>
      <c r="F308" s="107" t="s">
        <v>580</v>
      </c>
      <c r="G308" s="147" t="s">
        <v>581</v>
      </c>
      <c r="H308" s="92"/>
      <c r="I308" s="197" t="s">
        <v>582</v>
      </c>
      <c r="J308" s="91" t="str" cm="1">
        <f t="array" ref="J308">NomeDaCor(A308)</f>
        <v>Branco</v>
      </c>
      <c r="K308" s="450" t="str" cm="1">
        <f t="array" ref="K308">ExtrairHiperlink(D308)</f>
        <v>https://intra.senado.leg.br/sigad/novo/protocolo/impressao.asp?cod_protocolo=4227195</v>
      </c>
      <c r="L308" t="str" cm="1">
        <f t="array" ref="L308">ExtrairHiperlink(E308)</f>
        <v>https://intra.senado.leg.br/sigad/novo/protocolo/impressao.asp?area=processo&amp;cod_protocolo=4236444&amp;cod_frente_verso=&amp;cod_juntada=&amp;txt_funcao=</v>
      </c>
    </row>
    <row r="309" spans="1:12" ht="81" x14ac:dyDescent="0.25">
      <c r="A309" s="153"/>
      <c r="B309" s="131"/>
      <c r="C309" s="142"/>
      <c r="D309" s="133"/>
      <c r="E309" s="7" t="s">
        <v>441</v>
      </c>
      <c r="F309" s="134"/>
      <c r="G309" s="169"/>
      <c r="H309" s="153"/>
      <c r="I309" s="198"/>
      <c r="J309" s="91" t="str" cm="1">
        <f t="array" ref="J309">NomeDaCor(A309)</f>
        <v>Branco</v>
      </c>
      <c r="K309" s="450" t="str" cm="1">
        <f t="array" ref="K309">ExtrairHiperlink(D309)</f>
        <v>https://intra.senado.leg.br/sigad/novo/protocolo/impressao.asp?cod_protocolo=4227195</v>
      </c>
      <c r="L309" t="str" cm="1">
        <f t="array" ref="L309">ExtrairHiperlink(E309)</f>
        <v>https://intra.senado.leg.br/sigad/novo/protocolo/impressao.asp?area=processo&amp;cod_protocolo=4236444&amp;cod_frente_verso=&amp;cod_juntada=&amp;txt_funcao=</v>
      </c>
    </row>
    <row r="310" spans="1:12" ht="60" x14ac:dyDescent="0.25">
      <c r="A310" s="153"/>
      <c r="B310" s="105">
        <v>45923</v>
      </c>
      <c r="C310" s="107" t="s">
        <v>417</v>
      </c>
      <c r="D310" s="132" t="s">
        <v>536</v>
      </c>
      <c r="E310" s="17" t="s">
        <v>583</v>
      </c>
      <c r="F310" s="107" t="s">
        <v>580</v>
      </c>
      <c r="G310" s="169"/>
      <c r="H310" s="153"/>
      <c r="I310" s="198"/>
      <c r="J310" s="91" t="str" cm="1">
        <f t="array" ref="J310">NomeDaCor(A310)</f>
        <v>Branco</v>
      </c>
      <c r="K310" s="450" t="str" cm="1">
        <f t="array" ref="K310">ExtrairHiperlink(D310)</f>
        <v>https://intra.senado.leg.br/sigad/novo/protocolo/impressao.asp?cod_protocolo=4227195</v>
      </c>
      <c r="L310" t="str" cm="1">
        <f t="array" ref="L310">ExtrairHiperlink(E310)</f>
        <v>https://intra.senado.leg.br/sigad/novo/protocolo/impressao.asp?area=processo&amp;cod_protocolo=4500061&amp;cod_frente_verso=&amp;cod_juntada=&amp;txt_funcao=</v>
      </c>
    </row>
    <row r="311" spans="1:12" ht="81" x14ac:dyDescent="0.25">
      <c r="A311" s="93"/>
      <c r="B311" s="131"/>
      <c r="C311" s="108"/>
      <c r="D311" s="133"/>
      <c r="E311" s="7" t="s">
        <v>441</v>
      </c>
      <c r="F311" s="134"/>
      <c r="G311" s="171"/>
      <c r="H311" s="93"/>
      <c r="I311" s="199"/>
      <c r="J311" s="91" t="str" cm="1">
        <f t="array" ref="J311">NomeDaCor(A311)</f>
        <v>Branco</v>
      </c>
      <c r="K311" s="450" t="str" cm="1">
        <f t="array" ref="K311">ExtrairHiperlink(D311)</f>
        <v>https://intra.senado.leg.br/sigad/novo/protocolo/impressao.asp?cod_protocolo=4227195</v>
      </c>
      <c r="L311" t="str" cm="1">
        <f t="array" ref="L311">ExtrairHiperlink(E311)</f>
        <v>https://intra.senado.leg.br/sigad/novo/protocolo/impressao.asp?area=processo&amp;cod_protocolo=4500061&amp;cod_frente_verso=&amp;cod_juntada=&amp;txt_funcao=</v>
      </c>
    </row>
    <row r="312" spans="1:12" ht="60" x14ac:dyDescent="0.25">
      <c r="A312" s="246"/>
      <c r="B312" s="105">
        <v>45923</v>
      </c>
      <c r="C312" s="107" t="s">
        <v>417</v>
      </c>
      <c r="D312" s="132" t="s">
        <v>536</v>
      </c>
      <c r="E312" s="17" t="s">
        <v>583</v>
      </c>
      <c r="F312" s="107" t="s">
        <v>584</v>
      </c>
      <c r="G312" s="147" t="s">
        <v>585</v>
      </c>
      <c r="H312" s="92"/>
      <c r="I312" s="197" t="s">
        <v>579</v>
      </c>
      <c r="J312" s="91" t="str" cm="1">
        <f t="array" ref="J312">NomeDaCor(A312)</f>
        <v>Roxo Escuro</v>
      </c>
      <c r="K312" s="450" t="str" cm="1">
        <f t="array" ref="K312">ExtrairHiperlink(D312)</f>
        <v>https://intra.senado.leg.br/sigad/novo/protocolo/impressao.asp?cod_protocolo=4227195</v>
      </c>
      <c r="L312" t="str" cm="1">
        <f t="array" ref="L312">ExtrairHiperlink(E312)</f>
        <v>https://intra.senado.leg.br/sigad/novo/protocolo/impressao.asp?area=processo&amp;cod_protocolo=4500061&amp;cod_frente_verso=&amp;cod_juntada=&amp;txt_funcao=</v>
      </c>
    </row>
    <row r="313" spans="1:12" ht="81" x14ac:dyDescent="0.25">
      <c r="A313" s="247"/>
      <c r="B313" s="131"/>
      <c r="C313" s="108"/>
      <c r="D313" s="133"/>
      <c r="E313" s="7" t="s">
        <v>441</v>
      </c>
      <c r="F313" s="134"/>
      <c r="G313" s="169"/>
      <c r="H313" s="153"/>
      <c r="I313" s="198"/>
      <c r="J313" s="91" t="str" cm="1">
        <f t="array" ref="J313">NomeDaCor(A313)</f>
        <v>Roxo Escuro</v>
      </c>
      <c r="K313" s="450" t="str" cm="1">
        <f t="array" ref="K313">ExtrairHiperlink(D313)</f>
        <v>https://intra.senado.leg.br/sigad/novo/protocolo/impressao.asp?cod_protocolo=4227195</v>
      </c>
      <c r="L313" t="str" cm="1">
        <f t="array" ref="L313">ExtrairHiperlink(E313)</f>
        <v>https://intra.senado.leg.br/sigad/novo/protocolo/impressao.asp?area=processo&amp;cod_protocolo=4500061&amp;cod_frente_verso=&amp;cod_juntada=&amp;txt_funcao=</v>
      </c>
    </row>
    <row r="314" spans="1:12" ht="60" x14ac:dyDescent="0.25">
      <c r="A314" s="247"/>
      <c r="B314" s="105" t="s">
        <v>586</v>
      </c>
      <c r="C314" s="107" t="s">
        <v>587</v>
      </c>
      <c r="D314" s="132" t="s">
        <v>588</v>
      </c>
      <c r="E314" s="17" t="s">
        <v>589</v>
      </c>
      <c r="F314" s="107" t="s">
        <v>590</v>
      </c>
      <c r="G314" s="169"/>
      <c r="H314" s="153"/>
      <c r="I314" s="198"/>
      <c r="J314" s="91" t="str" cm="1">
        <f t="array" ref="J314">NomeDaCor(A314)</f>
        <v>Roxo Escuro</v>
      </c>
      <c r="K314" s="450" t="str" cm="1">
        <f t="array" ref="K314">ExtrairHiperlink(D314)</f>
        <v>https://intra.senado.leg.br/sigad/novo/protocolo/impressao.asp?cod_protocolo=4507912&amp;area=processo</v>
      </c>
      <c r="L314" t="str" cm="1">
        <f t="array" ref="L314">ExtrairHiperlink(E314)</f>
        <v>https://intra.senado.leg.br/sigad/novo/protocolo/impressao.asp?area=processo&amp;cod_protocolo=4508786&amp;cod_frente_verso=&amp;cod_juntada=&amp;txt_funcao=</v>
      </c>
    </row>
    <row r="315" spans="1:12" ht="81" x14ac:dyDescent="0.25">
      <c r="A315" s="248"/>
      <c r="B315" s="131"/>
      <c r="C315" s="108"/>
      <c r="D315" s="133"/>
      <c r="E315" s="10" t="s">
        <v>46</v>
      </c>
      <c r="F315" s="134"/>
      <c r="G315" s="244"/>
      <c r="H315" s="245"/>
      <c r="I315" s="199"/>
      <c r="J315" s="91" t="str" cm="1">
        <f t="array" ref="J315">NomeDaCor(A315)</f>
        <v>Roxo Escuro</v>
      </c>
      <c r="K315" s="450" t="str" cm="1">
        <f t="array" ref="K315">ExtrairHiperlink(D315)</f>
        <v>https://intra.senado.leg.br/sigad/novo/protocolo/impressao.asp?cod_protocolo=4507912&amp;area=processo</v>
      </c>
      <c r="L315" t="str" cm="1">
        <f t="array" ref="L315">ExtrairHiperlink(E315)</f>
        <v>https://intra.senado.leg.br/sigad/novo/protocolo/impressao.asp?area=processo&amp;cod_protocolo=4508786&amp;cod_frente_verso=&amp;cod_juntada=&amp;txt_funcao=</v>
      </c>
    </row>
    <row r="316" spans="1:12" ht="60" x14ac:dyDescent="0.25">
      <c r="A316" s="114" t="s">
        <v>18</v>
      </c>
      <c r="B316" s="217">
        <v>45903</v>
      </c>
      <c r="C316" s="219" t="s">
        <v>591</v>
      </c>
      <c r="D316" s="157" t="s">
        <v>592</v>
      </c>
      <c r="E316" s="30" t="s">
        <v>593</v>
      </c>
      <c r="F316" s="118" t="s">
        <v>594</v>
      </c>
      <c r="G316" s="221" t="s">
        <v>595</v>
      </c>
      <c r="H316" s="206"/>
      <c r="I316" s="183"/>
      <c r="J316" s="91" t="str" cm="1">
        <f t="array" ref="J316">NomeDaCor(A316)</f>
        <v>Preto</v>
      </c>
      <c r="K316" s="450" t="str" cm="1">
        <f t="array" ref="K316">ExtrairHiperlink(D316)</f>
        <v>https://intra.senado.leg.br/sigad/novo/protocolo/impressao.asp?cod_protocolo=4474226&amp;area=processo</v>
      </c>
      <c r="L316" t="str" cm="1">
        <f t="array" ref="L316">ExtrairHiperlink(E316)</f>
        <v>https://intra.senado.leg.br/sigad/novo/protocolo/impressao.asp?area=processo&amp;cod_protocolo=4476966&amp;cod_frente_verso=&amp;cod_juntada=&amp;txt_funcao=</v>
      </c>
    </row>
    <row r="317" spans="1:12" ht="81" x14ac:dyDescent="0.25">
      <c r="A317" s="223"/>
      <c r="B317" s="240"/>
      <c r="C317" s="241"/>
      <c r="D317" s="242"/>
      <c r="E317" s="81" t="s">
        <v>441</v>
      </c>
      <c r="F317" s="177"/>
      <c r="G317" s="243"/>
      <c r="H317" s="239"/>
      <c r="I317" s="129"/>
      <c r="J317" s="91" t="str" cm="1">
        <f t="array" ref="J317">NomeDaCor(A317)</f>
        <v>Preto</v>
      </c>
      <c r="K317" s="450" t="str" cm="1">
        <f t="array" ref="K317">ExtrairHiperlink(D317)</f>
        <v>https://intra.senado.leg.br/sigad/novo/protocolo/impressao.asp?cod_protocolo=4474226&amp;area=processo</v>
      </c>
      <c r="L317" t="str" cm="1">
        <f t="array" ref="L317">ExtrairHiperlink(E317)</f>
        <v>https://intra.senado.leg.br/sigad/novo/protocolo/impressao.asp?area=processo&amp;cod_protocolo=4476966&amp;cod_frente_verso=&amp;cod_juntada=&amp;txt_funcao=</v>
      </c>
    </row>
    <row r="318" spans="1:12" ht="105" x14ac:dyDescent="0.25">
      <c r="A318" s="114" t="s">
        <v>18</v>
      </c>
      <c r="B318" s="217">
        <v>45896</v>
      </c>
      <c r="C318" s="118" t="s">
        <v>596</v>
      </c>
      <c r="D318" s="178" t="s">
        <v>597</v>
      </c>
      <c r="E318" s="82" t="s">
        <v>598</v>
      </c>
      <c r="F318" s="118" t="s">
        <v>599</v>
      </c>
      <c r="G318" s="181" t="s">
        <v>600</v>
      </c>
      <c r="H318" s="206"/>
      <c r="I318" s="183"/>
      <c r="J318" s="91" t="str" cm="1">
        <f t="array" ref="J318">NomeDaCor(A318)</f>
        <v>Preto</v>
      </c>
      <c r="K318" s="450" t="str" cm="1">
        <f t="array" ref="K318">ExtrairHiperlink(D318)</f>
        <v>https://intra.senado.leg.br/sigad/novo/protocolo/impressao.asp?cod_protocolo=4467884&amp;area=processo</v>
      </c>
      <c r="L318" t="str" cm="1">
        <f t="array" ref="L318">ExtrairHiperlink(E318)</f>
        <v>https://intra.senado.leg.br/sigad/novo/protocolo/impressao.asp?area=processo&amp;cod_protocolo=4476966&amp;cod_frente_verso=&amp;cod_juntada=&amp;txt_funcao=</v>
      </c>
    </row>
    <row r="319" spans="1:12" ht="81" x14ac:dyDescent="0.25">
      <c r="A319" s="115"/>
      <c r="B319" s="218"/>
      <c r="C319" s="119"/>
      <c r="D319" s="158"/>
      <c r="E319" s="81" t="s">
        <v>441</v>
      </c>
      <c r="F319" s="119"/>
      <c r="G319" s="149"/>
      <c r="H319" s="207"/>
      <c r="I319" s="152"/>
      <c r="J319" s="91" t="str" cm="1">
        <f t="array" ref="J319">NomeDaCor(A319)</f>
        <v>Preto</v>
      </c>
      <c r="K319" s="450" t="str" cm="1">
        <f t="array" ref="K319">ExtrairHiperlink(D319)</f>
        <v>https://intra.senado.leg.br/sigad/novo/protocolo/impressao.asp?cod_protocolo=4467884&amp;area=processo</v>
      </c>
      <c r="L319" t="str" cm="1">
        <f t="array" ref="L319">ExtrairHiperlink(E319)</f>
        <v>https://intra.senado.leg.br/sigad/novo/protocolo/impressao.asp?area=processo&amp;cod_protocolo=4476966&amp;cod_frente_verso=&amp;cod_juntada=&amp;txt_funcao=</v>
      </c>
    </row>
    <row r="320" spans="1:12" ht="60" x14ac:dyDescent="0.25">
      <c r="A320" s="237"/>
      <c r="B320" s="105">
        <v>45923</v>
      </c>
      <c r="C320" s="107" t="s">
        <v>417</v>
      </c>
      <c r="D320" s="132" t="s">
        <v>536</v>
      </c>
      <c r="E320" s="17" t="s">
        <v>583</v>
      </c>
      <c r="F320" s="107" t="s">
        <v>601</v>
      </c>
      <c r="G320" s="147" t="s">
        <v>602</v>
      </c>
      <c r="H320" s="184"/>
      <c r="I320" s="185" t="s">
        <v>603</v>
      </c>
      <c r="J320" s="91" t="str" cm="1">
        <f t="array" ref="J320">NomeDaCor(A320)</f>
        <v>Azul</v>
      </c>
      <c r="K320" s="450" t="str" cm="1">
        <f t="array" ref="K320">ExtrairHiperlink(D320)</f>
        <v>https://intra.senado.leg.br/sigad/novo/protocolo/impressao.asp?cod_protocolo=4467884&amp;area=processo</v>
      </c>
      <c r="L320" t="str" cm="1">
        <f t="array" ref="L320">ExtrairHiperlink(E320)</f>
        <v>https://intra.senado.leg.br/sigad/novo/protocolo/impressao.asp?area=processo&amp;cod_protocolo=4500061&amp;cod_frente_verso=&amp;cod_juntada=&amp;txt_funcao=</v>
      </c>
    </row>
    <row r="321" spans="1:12" ht="81" x14ac:dyDescent="0.25">
      <c r="A321" s="238"/>
      <c r="B321" s="131"/>
      <c r="C321" s="108"/>
      <c r="D321" s="133"/>
      <c r="E321" s="56" t="s">
        <v>46</v>
      </c>
      <c r="F321" s="134"/>
      <c r="G321" s="143"/>
      <c r="H321" s="184"/>
      <c r="I321" s="186"/>
      <c r="J321" s="91" t="str" cm="1">
        <f t="array" ref="J321">NomeDaCor(A321)</f>
        <v>Azul</v>
      </c>
      <c r="K321" s="450" t="str" cm="1">
        <f t="array" ref="K321">ExtrairHiperlink(D321)</f>
        <v>https://intra.senado.leg.br/sigad/novo/protocolo/impressao.asp?cod_protocolo=4467884&amp;area=processo</v>
      </c>
      <c r="L321" t="str" cm="1">
        <f t="array" ref="L321">ExtrairHiperlink(E321)</f>
        <v>https://intra.senado.leg.br/sigad/novo/protocolo/impressao.asp?area=processo&amp;cod_protocolo=4500061&amp;cod_frente_verso=&amp;cod_juntada=&amp;txt_funcao=</v>
      </c>
    </row>
    <row r="322" spans="1:12" ht="60" x14ac:dyDescent="0.25">
      <c r="A322" s="234"/>
      <c r="B322" s="105">
        <v>45652</v>
      </c>
      <c r="C322" s="107" t="s">
        <v>26</v>
      </c>
      <c r="D322" s="100" t="s">
        <v>27</v>
      </c>
      <c r="E322" s="2" t="s">
        <v>28</v>
      </c>
      <c r="F322" s="107" t="s">
        <v>604</v>
      </c>
      <c r="G322" s="135" t="s">
        <v>605</v>
      </c>
      <c r="H322" s="92"/>
      <c r="I322" s="197" t="s">
        <v>603</v>
      </c>
      <c r="J322" s="91" t="str" cm="1">
        <f t="array" ref="J322">NomeDaCor(A322)</f>
        <v>Rosa</v>
      </c>
      <c r="K322" s="450" t="str" cm="1">
        <f t="array" ref="K322">ExtrairHiperlink(D322)</f>
        <v>https://intra.senado.leg.br/sigad/novo/protocolo/impressao.asp?cod_protocolo=4184491&amp;area=processo</v>
      </c>
      <c r="L322" t="str" cm="1">
        <f t="array" ref="L322">ExtrairHiperlink(E322)</f>
        <v>https://intra.senado.leg.br/sigad/novo/protocolo/impressao.asp?area=processo&amp;cod_protocolo=4223434&amp;cod_frente_verso=&amp;cod_juntada=&amp;txt_funcao=</v>
      </c>
    </row>
    <row r="323" spans="1:12" ht="81" x14ac:dyDescent="0.25">
      <c r="A323" s="235"/>
      <c r="B323" s="106"/>
      <c r="C323" s="108"/>
      <c r="D323" s="100"/>
      <c r="E323" s="7" t="s">
        <v>25</v>
      </c>
      <c r="F323" s="109"/>
      <c r="G323" s="163"/>
      <c r="H323" s="153"/>
      <c r="I323" s="198"/>
      <c r="J323" s="91" t="str" cm="1">
        <f t="array" ref="J323">NomeDaCor(A323)</f>
        <v>Rosa</v>
      </c>
      <c r="K323" s="450" t="str" cm="1">
        <f t="array" ref="K323">ExtrairHiperlink(D323)</f>
        <v>https://intra.senado.leg.br/sigad/novo/protocolo/impressao.asp?cod_protocolo=4184491&amp;area=processo</v>
      </c>
      <c r="L323" t="str" cm="1">
        <f t="array" ref="L323">ExtrairHiperlink(E323)</f>
        <v>https://intra.senado.leg.br/sigad/novo/protocolo/impressao.asp?area=processo&amp;cod_protocolo=4223434&amp;cod_frente_verso=&amp;cod_juntada=&amp;txt_funcao=</v>
      </c>
    </row>
    <row r="324" spans="1:12" ht="60" x14ac:dyDescent="0.25">
      <c r="A324" s="235"/>
      <c r="B324" s="105">
        <v>45692</v>
      </c>
      <c r="C324" s="107" t="s">
        <v>203</v>
      </c>
      <c r="D324" s="132" t="s">
        <v>204</v>
      </c>
      <c r="E324" s="2" t="s">
        <v>205</v>
      </c>
      <c r="F324" s="107" t="s">
        <v>604</v>
      </c>
      <c r="G324" s="163"/>
      <c r="H324" s="153"/>
      <c r="I324" s="198"/>
      <c r="J324" s="91" t="str" cm="1">
        <f t="array" ref="J324">NomeDaCor(A324)</f>
        <v>Rosa</v>
      </c>
      <c r="K324" s="450" t="str" cm="1">
        <f t="array" ref="K324">ExtrairHiperlink(D324)</f>
        <v>https://intra.senado.leg.br/sigad/novo/protocolo/impressao.asp?cod_protocolo=4226567&amp;area=processo</v>
      </c>
      <c r="L324" t="str" cm="1">
        <f t="array" ref="L324">ExtrairHiperlink(E324)</f>
        <v>https://intra.senado.leg.br/sigad/novo/protocolo/impressao.asp?cod_protocolo=4241695&amp;area=documento</v>
      </c>
    </row>
    <row r="325" spans="1:12" ht="81" x14ac:dyDescent="0.25">
      <c r="A325" s="235"/>
      <c r="B325" s="106"/>
      <c r="C325" s="108"/>
      <c r="D325" s="146"/>
      <c r="E325" s="7" t="s">
        <v>25</v>
      </c>
      <c r="F325" s="109"/>
      <c r="G325" s="163"/>
      <c r="H325" s="153"/>
      <c r="I325" s="198"/>
      <c r="J325" s="91" t="str" cm="1">
        <f t="array" ref="J325">NomeDaCor(A325)</f>
        <v>Rosa</v>
      </c>
      <c r="K325" s="450" t="str" cm="1">
        <f t="array" ref="K325">ExtrairHiperlink(D325)</f>
        <v>https://intra.senado.leg.br/sigad/novo/protocolo/impressao.asp?cod_protocolo=4226567&amp;area=processo</v>
      </c>
      <c r="L325" t="str" cm="1">
        <f t="array" ref="L325">ExtrairHiperlink(E325)</f>
        <v>https://intra.senado.leg.br/sigad/novo/protocolo/impressao.asp?cod_protocolo=4241695&amp;area=documento</v>
      </c>
    </row>
    <row r="326" spans="1:12" ht="60" x14ac:dyDescent="0.25">
      <c r="A326" s="235"/>
      <c r="B326" s="105">
        <v>45692</v>
      </c>
      <c r="C326" s="107" t="s">
        <v>55</v>
      </c>
      <c r="D326" s="132" t="s">
        <v>137</v>
      </c>
      <c r="E326" s="2" t="s">
        <v>138</v>
      </c>
      <c r="F326" s="107" t="s">
        <v>606</v>
      </c>
      <c r="G326" s="163"/>
      <c r="H326" s="153"/>
      <c r="I326" s="198"/>
      <c r="J326" s="91" t="str" cm="1">
        <f t="array" ref="J326">NomeDaCor(A326)</f>
        <v>Rosa</v>
      </c>
      <c r="K326" s="450" t="str" cm="1">
        <f t="array" ref="K326">ExtrairHiperlink(D326)</f>
        <v>https://intra.senado.leg.br/sigad/novo/protocolo/impressao.asp?cod_protocolo=4228774&amp;area=processo</v>
      </c>
      <c r="L326" t="str" cm="1">
        <f t="array" ref="L326">ExtrairHiperlink(E326)</f>
        <v>https://intra.senado.leg.br/sigad/novo/protocolo/impressao.asp?cod_protocolo=4241698&amp;area=documento</v>
      </c>
    </row>
    <row r="327" spans="1:12" ht="81" x14ac:dyDescent="0.25">
      <c r="A327" s="235"/>
      <c r="B327" s="106"/>
      <c r="C327" s="109"/>
      <c r="D327" s="146"/>
      <c r="E327" s="7" t="s">
        <v>25</v>
      </c>
      <c r="F327" s="109"/>
      <c r="G327" s="163"/>
      <c r="H327" s="153"/>
      <c r="I327" s="198"/>
      <c r="J327" s="91" t="str" cm="1">
        <f t="array" ref="J327">NomeDaCor(A327)</f>
        <v>Rosa</v>
      </c>
      <c r="K327" s="450" t="str" cm="1">
        <f t="array" ref="K327">ExtrairHiperlink(D327)</f>
        <v>https://intra.senado.leg.br/sigad/novo/protocolo/impressao.asp?cod_protocolo=4228774&amp;area=processo</v>
      </c>
      <c r="L327" t="str" cm="1">
        <f t="array" ref="L327">ExtrairHiperlink(E327)</f>
        <v>https://intra.senado.leg.br/sigad/novo/protocolo/impressao.asp?cod_protocolo=4241698&amp;area=documento</v>
      </c>
    </row>
    <row r="328" spans="1:12" ht="60" x14ac:dyDescent="0.25">
      <c r="A328" s="235"/>
      <c r="B328" s="105">
        <v>45728</v>
      </c>
      <c r="C328" s="145" t="s">
        <v>114</v>
      </c>
      <c r="D328" s="132" t="s">
        <v>115</v>
      </c>
      <c r="E328" s="2" t="s">
        <v>116</v>
      </c>
      <c r="F328" s="107" t="s">
        <v>607</v>
      </c>
      <c r="G328" s="163"/>
      <c r="H328" s="153"/>
      <c r="I328" s="198"/>
      <c r="J328" s="91" t="str" cm="1">
        <f t="array" ref="J328">NomeDaCor(A328)</f>
        <v>Rosa</v>
      </c>
      <c r="K328" s="450" t="str" cm="1">
        <f t="array" ref="K328">ExtrairHiperlink(D328)</f>
        <v>https://intra.senado.leg.br/sigad/novo/protocolo/impressao.asp?cod_protocolo=4269985&amp;area=processo</v>
      </c>
      <c r="L328" t="str" cm="1">
        <f t="array" ref="L328">ExtrairHiperlink(E328)</f>
        <v>https://intra.senado.leg.br/sigad/novo/protocolo/impressao.asp?area=processo&amp;cod_protocolo=4269913&amp;cod_frente_verso=&amp;cod_juntada=&amp;txt_funcao=</v>
      </c>
    </row>
    <row r="329" spans="1:12" ht="81" x14ac:dyDescent="0.25">
      <c r="A329" s="235"/>
      <c r="B329" s="106"/>
      <c r="C329" s="109"/>
      <c r="D329" s="146"/>
      <c r="E329" s="7" t="s">
        <v>25</v>
      </c>
      <c r="F329" s="109"/>
      <c r="G329" s="163"/>
      <c r="H329" s="153"/>
      <c r="I329" s="198"/>
      <c r="J329" s="91" t="str" cm="1">
        <f t="array" ref="J329">NomeDaCor(A329)</f>
        <v>Rosa</v>
      </c>
      <c r="K329" s="450" t="str" cm="1">
        <f t="array" ref="K329">ExtrairHiperlink(D329)</f>
        <v>https://intra.senado.leg.br/sigad/novo/protocolo/impressao.asp?cod_protocolo=4269985&amp;area=processo</v>
      </c>
      <c r="L329" t="str" cm="1">
        <f t="array" ref="L329">ExtrairHiperlink(E329)</f>
        <v>https://intra.senado.leg.br/sigad/novo/protocolo/impressao.asp?area=processo&amp;cod_protocolo=4269913&amp;cod_frente_verso=&amp;cod_juntada=&amp;txt_funcao=</v>
      </c>
    </row>
    <row r="330" spans="1:12" ht="60" x14ac:dyDescent="0.25">
      <c r="A330" s="235"/>
      <c r="B330" s="105">
        <v>45904</v>
      </c>
      <c r="C330" s="145" t="s">
        <v>608</v>
      </c>
      <c r="D330" s="132" t="s">
        <v>609</v>
      </c>
      <c r="E330" s="3" t="s">
        <v>610</v>
      </c>
      <c r="F330" s="107" t="s">
        <v>607</v>
      </c>
      <c r="G330" s="163"/>
      <c r="H330" s="153"/>
      <c r="I330" s="198"/>
      <c r="J330" s="91" t="str" cm="1">
        <f t="array" ref="J330">NomeDaCor(A330)</f>
        <v>Rosa</v>
      </c>
      <c r="K330" s="450" t="str" cm="1">
        <f t="array" ref="K330">ExtrairHiperlink(D330)</f>
        <v>https://intra.senado.leg.br/sigad/novo/protocolo/impressao.asp?cod_protocolo=4477362&amp;area=processo</v>
      </c>
      <c r="L330" t="str" cm="1">
        <f t="array" ref="L330">ExtrairHiperlink(E330)</f>
        <v>https://intra.senado.leg.br/sigad/novo/protocolo/impressao.asp?area=processo&amp;cod_protocolo=4488026&amp;cod_frente_verso=&amp;cod_juntada=&amp;txt_funcao=</v>
      </c>
    </row>
    <row r="331" spans="1:12" ht="81" x14ac:dyDescent="0.25">
      <c r="A331" s="235"/>
      <c r="B331" s="106"/>
      <c r="C331" s="172"/>
      <c r="D331" s="146"/>
      <c r="E331" s="10" t="s">
        <v>46</v>
      </c>
      <c r="F331" s="109"/>
      <c r="G331" s="163"/>
      <c r="H331" s="153"/>
      <c r="I331" s="198"/>
      <c r="J331" s="91" t="str" cm="1">
        <f t="array" ref="J331">NomeDaCor(A331)</f>
        <v>Rosa</v>
      </c>
      <c r="K331" s="450" t="str" cm="1">
        <f t="array" ref="K331">ExtrairHiperlink(D331)</f>
        <v>https://intra.senado.leg.br/sigad/novo/protocolo/impressao.asp?cod_protocolo=4477362&amp;area=processo</v>
      </c>
      <c r="L331" t="str" cm="1">
        <f t="array" ref="L331">ExtrairHiperlink(E331)</f>
        <v>https://intra.senado.leg.br/sigad/novo/protocolo/impressao.asp?area=processo&amp;cod_protocolo=4488026&amp;cod_frente_verso=&amp;cod_juntada=&amp;txt_funcao=</v>
      </c>
    </row>
    <row r="332" spans="1:12" ht="60" x14ac:dyDescent="0.25">
      <c r="A332" s="235"/>
      <c r="B332" s="105">
        <v>45923</v>
      </c>
      <c r="C332" s="107" t="s">
        <v>417</v>
      </c>
      <c r="D332" s="132" t="s">
        <v>536</v>
      </c>
      <c r="E332" s="17" t="s">
        <v>583</v>
      </c>
      <c r="F332" s="232" t="s">
        <v>611</v>
      </c>
      <c r="G332" s="163"/>
      <c r="H332" s="153"/>
      <c r="I332" s="198"/>
      <c r="J332" s="91" t="str" cm="1">
        <f t="array" ref="J332">NomeDaCor(A332)</f>
        <v>Rosa</v>
      </c>
      <c r="K332" s="450" t="str" cm="1">
        <f t="array" ref="K332">ExtrairHiperlink(D332)</f>
        <v>https://intra.senado.leg.br/sigad/novo/protocolo/impressao.asp?cod_protocolo=4477362&amp;area=processo</v>
      </c>
      <c r="L332" t="str" cm="1">
        <f t="array" ref="L332">ExtrairHiperlink(E332)</f>
        <v>https://intra.senado.leg.br/sigad/novo/protocolo/impressao.asp?area=processo&amp;cod_protocolo=4500061&amp;cod_frente_verso=&amp;cod_juntada=&amp;txt_funcao=</v>
      </c>
    </row>
    <row r="333" spans="1:12" ht="81" x14ac:dyDescent="0.25">
      <c r="A333" s="236"/>
      <c r="B333" s="131"/>
      <c r="C333" s="108"/>
      <c r="D333" s="133"/>
      <c r="E333" s="7" t="s">
        <v>25</v>
      </c>
      <c r="F333" s="233"/>
      <c r="G333" s="164"/>
      <c r="H333" s="93"/>
      <c r="I333" s="199"/>
      <c r="J333" s="91" t="str" cm="1">
        <f t="array" ref="J333">NomeDaCor(A333)</f>
        <v>Rosa</v>
      </c>
      <c r="K333" s="450" t="str" cm="1">
        <f t="array" ref="K333">ExtrairHiperlink(D333)</f>
        <v>https://intra.senado.leg.br/sigad/novo/protocolo/impressao.asp?cod_protocolo=4477362&amp;area=processo</v>
      </c>
      <c r="L333" t="str" cm="1">
        <f t="array" ref="L333">ExtrairHiperlink(E333)</f>
        <v>https://intra.senado.leg.br/sigad/novo/protocolo/impressao.asp?area=processo&amp;cod_protocolo=4500061&amp;cod_frente_verso=&amp;cod_juntada=&amp;txt_funcao=</v>
      </c>
    </row>
    <row r="334" spans="1:12" ht="60" x14ac:dyDescent="0.25">
      <c r="A334" s="192"/>
      <c r="B334" s="105">
        <v>45908</v>
      </c>
      <c r="C334" s="145" t="s">
        <v>612</v>
      </c>
      <c r="D334" s="132" t="s">
        <v>613</v>
      </c>
      <c r="E334" s="68" t="s">
        <v>614</v>
      </c>
      <c r="F334" s="107" t="s">
        <v>615</v>
      </c>
      <c r="G334" s="135" t="s">
        <v>616</v>
      </c>
      <c r="H334" s="92"/>
      <c r="I334" s="185" t="s">
        <v>603</v>
      </c>
      <c r="J334" s="91" t="str" cm="1">
        <f t="array" ref="J334">NomeDaCor(A334)</f>
        <v>Vermelho</v>
      </c>
      <c r="K334" s="450" t="str" cm="1">
        <f t="array" ref="K334">ExtrairHiperlink(D334)</f>
        <v>https://intra.senado.leg.br/sigad/novo/protocolo/impressao.asp?cod_protocolo=4457854&amp;area=processo</v>
      </c>
      <c r="L334" t="str" cm="1">
        <f t="array" ref="L334">ExtrairHiperlink(E334)</f>
        <v>https://intra.senado.leg.br/sigad/visualizador/PdfJs/web/viewer.html?cod_protocolo=4496720&amp;cod_pagina=&amp;cod_usuario=76880&amp;cod_orgao=9694&amp;token=5W632YWER1CJ4XW</v>
      </c>
    </row>
    <row r="335" spans="1:12" ht="81" x14ac:dyDescent="0.25">
      <c r="A335" s="192"/>
      <c r="B335" s="106"/>
      <c r="C335" s="172"/>
      <c r="D335" s="146"/>
      <c r="E335" s="7" t="s">
        <v>25</v>
      </c>
      <c r="F335" s="109"/>
      <c r="G335" s="164"/>
      <c r="H335" s="93"/>
      <c r="I335" s="186"/>
      <c r="J335" s="91" t="str" cm="1">
        <f t="array" ref="J335">NomeDaCor(A335)</f>
        <v>Vermelho</v>
      </c>
      <c r="K335" s="450" t="str" cm="1">
        <f t="array" ref="K335">ExtrairHiperlink(D335)</f>
        <v>https://intra.senado.leg.br/sigad/novo/protocolo/impressao.asp?cod_protocolo=4457854&amp;area=processo</v>
      </c>
      <c r="L335" t="str" cm="1">
        <f t="array" ref="L335">ExtrairHiperlink(E335)</f>
        <v>https://intra.senado.leg.br/sigad/visualizador/PdfJs/web/viewer.html?cod_protocolo=4496720&amp;cod_pagina=&amp;cod_usuario=76880&amp;cod_orgao=9694&amp;token=5W632YWER1CJ4XW</v>
      </c>
    </row>
    <row r="336" spans="1:12" ht="60" x14ac:dyDescent="0.25">
      <c r="A336" s="229"/>
      <c r="B336" s="105">
        <v>45923</v>
      </c>
      <c r="C336" s="107" t="s">
        <v>417</v>
      </c>
      <c r="D336" s="132" t="s">
        <v>536</v>
      </c>
      <c r="E336" s="17" t="s">
        <v>583</v>
      </c>
      <c r="F336" s="107" t="s">
        <v>617</v>
      </c>
      <c r="G336" s="147" t="s">
        <v>618</v>
      </c>
      <c r="H336" s="92"/>
      <c r="I336" s="197" t="s">
        <v>603</v>
      </c>
      <c r="J336" s="91" t="str" cm="1">
        <f t="array" ref="J336">NomeDaCor(A336)</f>
        <v>Laranja</v>
      </c>
      <c r="K336" s="450" t="str" cm="1">
        <f t="array" ref="K336">ExtrairHiperlink(D336)</f>
        <v>https://intra.senado.leg.br/sigad/novo/protocolo/impressao.asp?cod_protocolo=4457854&amp;area=processo</v>
      </c>
      <c r="L336" t="str" cm="1">
        <f t="array" ref="L336">ExtrairHiperlink(E336)</f>
        <v>https://intra.senado.leg.br/sigad/novo/protocolo/impressao.asp?area=processo&amp;cod_protocolo=4500061&amp;cod_frente_verso=&amp;cod_juntada=&amp;txt_funcao=</v>
      </c>
    </row>
    <row r="337" spans="1:12" ht="81" x14ac:dyDescent="0.25">
      <c r="A337" s="230"/>
      <c r="B337" s="131"/>
      <c r="C337" s="108"/>
      <c r="D337" s="133"/>
      <c r="E337" s="7" t="s">
        <v>25</v>
      </c>
      <c r="F337" s="142"/>
      <c r="G337" s="169"/>
      <c r="H337" s="153"/>
      <c r="I337" s="198"/>
      <c r="J337" s="91" t="str" cm="1">
        <f t="array" ref="J337">NomeDaCor(A337)</f>
        <v>Laranja</v>
      </c>
      <c r="K337" s="450" t="str" cm="1">
        <f t="array" ref="K337">ExtrairHiperlink(D337)</f>
        <v>https://intra.senado.leg.br/sigad/novo/protocolo/impressao.asp?cod_protocolo=4457854&amp;area=processo</v>
      </c>
      <c r="L337" t="str" cm="1">
        <f t="array" ref="L337">ExtrairHiperlink(E337)</f>
        <v>https://intra.senado.leg.br/sigad/novo/protocolo/impressao.asp?area=processo&amp;cod_protocolo=4500061&amp;cod_frente_verso=&amp;cod_juntada=&amp;txt_funcao=</v>
      </c>
    </row>
    <row r="338" spans="1:12" ht="60" x14ac:dyDescent="0.25">
      <c r="A338" s="230"/>
      <c r="B338" s="105" t="s">
        <v>586</v>
      </c>
      <c r="C338" s="107" t="s">
        <v>587</v>
      </c>
      <c r="D338" s="132" t="s">
        <v>588</v>
      </c>
      <c r="E338" s="17" t="s">
        <v>589</v>
      </c>
      <c r="F338" s="142"/>
      <c r="G338" s="169"/>
      <c r="H338" s="153"/>
      <c r="I338" s="198"/>
      <c r="J338" s="91" t="str" cm="1">
        <f t="array" ref="J338">NomeDaCor(A338)</f>
        <v>Laranja</v>
      </c>
      <c r="K338" s="450" t="str" cm="1">
        <f t="array" ref="K338">ExtrairHiperlink(D338)</f>
        <v>https://intra.senado.leg.br/sigad/novo/protocolo/impressao.asp?cod_protocolo=4507912&amp;area=processo</v>
      </c>
      <c r="L338" t="str" cm="1">
        <f t="array" ref="L338">ExtrairHiperlink(E338)</f>
        <v>https://intra.senado.leg.br/sigad/novo/protocolo/impressao.asp?area=processo&amp;cod_protocolo=4508786&amp;cod_frente_verso=&amp;cod_juntada=&amp;txt_funcao=</v>
      </c>
    </row>
    <row r="339" spans="1:12" ht="81" x14ac:dyDescent="0.25">
      <c r="A339" s="231"/>
      <c r="B339" s="131"/>
      <c r="C339" s="108"/>
      <c r="D339" s="133"/>
      <c r="E339" s="10" t="s">
        <v>46</v>
      </c>
      <c r="F339" s="109"/>
      <c r="G339" s="171"/>
      <c r="H339" s="93"/>
      <c r="I339" s="199"/>
      <c r="J339" s="91" t="str" cm="1">
        <f t="array" ref="J339">NomeDaCor(A339)</f>
        <v>Laranja</v>
      </c>
      <c r="K339" s="450" t="str" cm="1">
        <f t="array" ref="K339">ExtrairHiperlink(D339)</f>
        <v>https://intra.senado.leg.br/sigad/novo/protocolo/impressao.asp?cod_protocolo=4507912&amp;area=processo</v>
      </c>
      <c r="L339" t="str" cm="1">
        <f t="array" ref="L339">ExtrairHiperlink(E339)</f>
        <v>https://intra.senado.leg.br/sigad/novo/protocolo/impressao.asp?area=processo&amp;cod_protocolo=4508786&amp;cod_frente_verso=&amp;cod_juntada=&amp;txt_funcao=</v>
      </c>
    </row>
    <row r="340" spans="1:12" ht="60" x14ac:dyDescent="0.25">
      <c r="A340" s="140"/>
      <c r="B340" s="105">
        <v>45693</v>
      </c>
      <c r="C340" s="107" t="s">
        <v>63</v>
      </c>
      <c r="D340" s="132" t="s">
        <v>38</v>
      </c>
      <c r="E340" s="2" t="s">
        <v>39</v>
      </c>
      <c r="F340" s="107" t="s">
        <v>619</v>
      </c>
      <c r="G340" s="147" t="s">
        <v>620</v>
      </c>
      <c r="H340" s="92"/>
      <c r="I340" s="185" t="s">
        <v>603</v>
      </c>
      <c r="J340" s="91" t="str" cm="1">
        <f t="array" ref="J340">NomeDaCor(A340)</f>
        <v>Verde</v>
      </c>
      <c r="K340" s="450" t="str" cm="1">
        <f t="array" ref="K340">ExtrairHiperlink(D340)</f>
        <v>https://intra.senado.leg.br/sigad/novo/protocolo/impressao.asp?cod_protocolo=4227195</v>
      </c>
      <c r="L340" t="str" cm="1">
        <f t="array" ref="L340">ExtrairHiperlink(E340)</f>
        <v>https://intra.senado.leg.br/sigad/novo/protocolo/impressao.asp?area=processo&amp;cod_protocolo=4236444&amp;cod_frente_verso=&amp;cod_juntada=&amp;txt_funcao=</v>
      </c>
    </row>
    <row r="341" spans="1:12" ht="81" x14ac:dyDescent="0.25">
      <c r="A341" s="228"/>
      <c r="B341" s="131"/>
      <c r="C341" s="142"/>
      <c r="D341" s="133"/>
      <c r="E341" s="7" t="s">
        <v>25</v>
      </c>
      <c r="F341" s="134"/>
      <c r="G341" s="143"/>
      <c r="H341" s="153"/>
      <c r="I341" s="186"/>
      <c r="J341" s="91" t="str" cm="1">
        <f t="array" ref="J341">NomeDaCor(A341)</f>
        <v>Verde</v>
      </c>
      <c r="K341" s="450" t="str" cm="1">
        <f t="array" ref="K341">ExtrairHiperlink(D341)</f>
        <v>https://intra.senado.leg.br/sigad/novo/protocolo/impressao.asp?cod_protocolo=4227195</v>
      </c>
      <c r="L341" t="str" cm="1">
        <f t="array" ref="L341">ExtrairHiperlink(E341)</f>
        <v>https://intra.senado.leg.br/sigad/novo/protocolo/impressao.asp?area=processo&amp;cod_protocolo=4236444&amp;cod_frente_verso=&amp;cod_juntada=&amp;txt_funcao=</v>
      </c>
    </row>
    <row r="342" spans="1:12" ht="60" x14ac:dyDescent="0.25">
      <c r="A342" s="114" t="s">
        <v>18</v>
      </c>
      <c r="B342" s="116">
        <v>45936</v>
      </c>
      <c r="C342" s="118" t="s">
        <v>621</v>
      </c>
      <c r="D342" s="178" t="s">
        <v>622</v>
      </c>
      <c r="E342" s="23" t="s">
        <v>623</v>
      </c>
      <c r="F342" s="124" t="s">
        <v>624</v>
      </c>
      <c r="G342" s="126" t="s">
        <v>625</v>
      </c>
      <c r="H342" s="128"/>
      <c r="I342" s="226" t="s">
        <v>626</v>
      </c>
      <c r="J342" s="91" t="str" cm="1">
        <f t="array" ref="J342">NomeDaCor(A342)</f>
        <v>Preto</v>
      </c>
      <c r="K342" s="450" t="str" cm="1">
        <f t="array" ref="K342">ExtrairHiperlink(D342)</f>
        <v>https://intra.senado.leg.br/sigad/novo/protocolo/impressao.asp?cod_protocolo=4515236&amp;area=processo</v>
      </c>
      <c r="L342" t="str" cm="1">
        <f t="array" ref="L342">ExtrairHiperlink(E342)</f>
        <v>https://intra.senado.leg.br/sigad/novo/protocolo/impressao.asp?area=processo&amp;cod_protocolo=4515916&amp;cod_frente_verso=&amp;cod_juntada=&amp;txt_funcao=</v>
      </c>
    </row>
    <row r="343" spans="1:12" ht="81" x14ac:dyDescent="0.25">
      <c r="A343" s="223"/>
      <c r="B343" s="224"/>
      <c r="C343" s="161"/>
      <c r="D343" s="225"/>
      <c r="E343" s="7" t="s">
        <v>25</v>
      </c>
      <c r="F343" s="124"/>
      <c r="G343" s="127"/>
      <c r="H343" s="128"/>
      <c r="I343" s="227"/>
      <c r="J343" s="91" t="str" cm="1">
        <f t="array" ref="J343">NomeDaCor(A343)</f>
        <v>Preto</v>
      </c>
      <c r="K343" s="450" t="str" cm="1">
        <f t="array" ref="K343">ExtrairHiperlink(D343)</f>
        <v>https://intra.senado.leg.br/sigad/novo/protocolo/impressao.asp?cod_protocolo=4515236&amp;area=processo</v>
      </c>
      <c r="L343" t="str" cm="1">
        <f t="array" ref="L343">ExtrairHiperlink(E343)</f>
        <v>https://intra.senado.leg.br/sigad/novo/protocolo/impressao.asp?area=processo&amp;cod_protocolo=4515916&amp;cod_frente_verso=&amp;cod_juntada=&amp;txt_funcao=</v>
      </c>
    </row>
    <row r="344" spans="1:12" ht="60" x14ac:dyDescent="0.25">
      <c r="A344" s="114" t="s">
        <v>18</v>
      </c>
      <c r="B344" s="217">
        <v>45884</v>
      </c>
      <c r="C344" s="219" t="s">
        <v>627</v>
      </c>
      <c r="D344" s="178" t="s">
        <v>628</v>
      </c>
      <c r="E344" s="84" t="s">
        <v>629</v>
      </c>
      <c r="F344" s="118" t="s">
        <v>630</v>
      </c>
      <c r="G344" s="221" t="s">
        <v>631</v>
      </c>
      <c r="H344" s="206"/>
      <c r="I344" s="183"/>
      <c r="J344" s="91" t="str" cm="1">
        <f t="array" ref="J344">NomeDaCor(A344)</f>
        <v>Preto</v>
      </c>
      <c r="K344" s="450" t="str" cm="1">
        <f t="array" ref="K344">ExtrairHiperlink(D344)</f>
        <v>https://intra.senado.leg.br/sigad/novo/protocolo/impressao.asp?cod_protocolo=4452867&amp;area=processo</v>
      </c>
      <c r="L344" t="str" cm="1">
        <f t="array" ref="L344">ExtrairHiperlink(E344)</f>
        <v>https://intra.senado.leg.br/sigad/novo/protocolo/impressao.asp?area=processo&amp;cod_protocolo=4499953&amp;cod_frente_verso=&amp;cod_juntada=&amp;txt_funcao=</v>
      </c>
    </row>
    <row r="345" spans="1:12" ht="81" x14ac:dyDescent="0.25">
      <c r="A345" s="115"/>
      <c r="B345" s="218"/>
      <c r="C345" s="220"/>
      <c r="D345" s="158"/>
      <c r="E345" s="7" t="s">
        <v>25</v>
      </c>
      <c r="F345" s="119"/>
      <c r="G345" s="222"/>
      <c r="H345" s="207"/>
      <c r="I345" s="152"/>
      <c r="J345" s="91" t="str" cm="1">
        <f t="array" ref="J345">NomeDaCor(A345)</f>
        <v>Preto</v>
      </c>
      <c r="K345" s="450" t="str" cm="1">
        <f t="array" ref="K345">ExtrairHiperlink(D345)</f>
        <v>https://intra.senado.leg.br/sigad/novo/protocolo/impressao.asp?cod_protocolo=4452867&amp;area=processo</v>
      </c>
      <c r="L345" t="str" cm="1">
        <f t="array" ref="L345">ExtrairHiperlink(E345)</f>
        <v>https://intra.senado.leg.br/sigad/novo/protocolo/impressao.asp?area=processo&amp;cod_protocolo=4499953&amp;cod_frente_verso=&amp;cod_juntada=&amp;txt_funcao=</v>
      </c>
    </row>
    <row r="346" spans="1:12" ht="60" x14ac:dyDescent="0.25">
      <c r="A346" s="208"/>
      <c r="B346" s="105">
        <v>45947</v>
      </c>
      <c r="C346" s="107" t="s">
        <v>632</v>
      </c>
      <c r="D346" s="209" t="s">
        <v>633</v>
      </c>
      <c r="E346" s="68" t="s">
        <v>634</v>
      </c>
      <c r="F346" s="210" t="s">
        <v>635</v>
      </c>
      <c r="G346" s="212" t="s">
        <v>636</v>
      </c>
      <c r="H346" s="214"/>
      <c r="I346" s="216" t="s">
        <v>637</v>
      </c>
      <c r="J346" s="91" t="str" cm="1">
        <f t="array" ref="J346">NomeDaCor(A346)</f>
        <v>Laranja</v>
      </c>
      <c r="K346" s="450" t="str" cm="1">
        <f t="array" ref="K346">ExtrairHiperlink(D346)</f>
        <v>https://intra.senado.leg.br/sigad/novo/protocolo/impressao.asp?cod_protocolo=4533882&amp;area=processo</v>
      </c>
      <c r="L346" t="str" cm="1">
        <f t="array" ref="L346">ExtrairHiperlink(E346)</f>
        <v>https://intra.senado.leg.br/sigad/novo/protocolo/impressao.asp?cod_protocolo=4536977</v>
      </c>
    </row>
    <row r="347" spans="1:12" ht="81" x14ac:dyDescent="0.25">
      <c r="A347" s="208"/>
      <c r="B347" s="106"/>
      <c r="C347" s="108"/>
      <c r="D347" s="203"/>
      <c r="E347" s="7" t="s">
        <v>25</v>
      </c>
      <c r="F347" s="211"/>
      <c r="G347" s="213"/>
      <c r="H347" s="215"/>
      <c r="I347" s="216"/>
      <c r="J347" s="91" t="str" cm="1">
        <f t="array" ref="J347">NomeDaCor(A347)</f>
        <v>Laranja</v>
      </c>
      <c r="K347" s="450" t="str" cm="1">
        <f t="array" ref="K347">ExtrairHiperlink(D347)</f>
        <v>https://intra.senado.leg.br/sigad/novo/protocolo/impressao.asp?cod_protocolo=4533882&amp;area=processo</v>
      </c>
      <c r="L347" t="str" cm="1">
        <f t="array" ref="L347">ExtrairHiperlink(E347)</f>
        <v>https://intra.senado.leg.br/sigad/novo/protocolo/impressao.asp?cod_protocolo=4536977</v>
      </c>
    </row>
    <row r="348" spans="1:12" ht="60" x14ac:dyDescent="0.25">
      <c r="A348" s="85" t="s">
        <v>47</v>
      </c>
      <c r="B348" s="131">
        <v>45940</v>
      </c>
      <c r="C348" s="200" t="s">
        <v>638</v>
      </c>
      <c r="D348" s="202" t="s">
        <v>639</v>
      </c>
      <c r="E348" s="3" t="s">
        <v>640</v>
      </c>
      <c r="F348" s="200" t="s">
        <v>641</v>
      </c>
      <c r="G348" s="169" t="s">
        <v>642</v>
      </c>
      <c r="H348" s="204"/>
      <c r="I348" s="193" t="s">
        <v>643</v>
      </c>
      <c r="J348" s="91" t="str" cm="1">
        <f t="array" ref="J348">NomeDaCor(A348)</f>
        <v>Azul</v>
      </c>
      <c r="K348" s="450" t="str" cm="1">
        <f t="array" ref="K348">ExtrairHiperlink(D348)</f>
        <v>https://intra.senado.leg.br/sigad/novo/protocolo/impressao.asp?cod_protocolo=4524510</v>
      </c>
      <c r="L348" t="str" cm="1">
        <f t="array" ref="L348">ExtrairHiperlink(E348)</f>
        <v>https://intra.senado.leg.br/sigad/novo/protocolo/impressao.asp?area=processo&amp;cod_protocolo=4529785&amp;cod_frente_verso=&amp;cod_juntada=&amp;txt_funcao=</v>
      </c>
    </row>
    <row r="349" spans="1:12" ht="81" x14ac:dyDescent="0.25">
      <c r="A349" s="86" t="s">
        <v>54</v>
      </c>
      <c r="B349" s="131"/>
      <c r="C349" s="201"/>
      <c r="D349" s="203"/>
      <c r="E349" s="7" t="s">
        <v>25</v>
      </c>
      <c r="F349" s="201"/>
      <c r="G349" s="143"/>
      <c r="H349" s="205"/>
      <c r="I349" s="186"/>
      <c r="J349" s="91" t="str" cm="1">
        <f t="array" ref="J349">NomeDaCor(A349)</f>
        <v>Branco</v>
      </c>
      <c r="K349" s="450" t="str" cm="1">
        <f t="array" ref="K349">ExtrairHiperlink(D349)</f>
        <v>https://intra.senado.leg.br/sigad/novo/protocolo/impressao.asp?cod_protocolo=4524510</v>
      </c>
      <c r="L349" t="str" cm="1">
        <f t="array" ref="L349">ExtrairHiperlink(E349)</f>
        <v>https://intra.senado.leg.br/sigad/novo/protocolo/impressao.asp?area=processo&amp;cod_protocolo=4529785&amp;cod_frente_verso=&amp;cod_juntada=&amp;txt_funcao=</v>
      </c>
    </row>
    <row r="350" spans="1:12" ht="60" x14ac:dyDescent="0.25">
      <c r="A350" s="194"/>
      <c r="B350" s="105">
        <v>45925</v>
      </c>
      <c r="C350" s="107" t="s">
        <v>632</v>
      </c>
      <c r="D350" s="132" t="s">
        <v>644</v>
      </c>
      <c r="E350" s="68" t="s">
        <v>645</v>
      </c>
      <c r="F350" s="107" t="s">
        <v>646</v>
      </c>
      <c r="G350" s="147" t="s">
        <v>647</v>
      </c>
      <c r="H350" s="92"/>
      <c r="I350" s="197" t="s">
        <v>643</v>
      </c>
      <c r="J350" s="91" t="str" cm="1">
        <f t="array" ref="J350">NomeDaCor(A350)</f>
        <v>Roxo</v>
      </c>
      <c r="K350" s="450" t="str" cm="1">
        <f t="array" ref="K350">ExtrairHiperlink(D350)</f>
        <v>https://intra.senado.leg.br/sigad/novo/protocolo/impressao.asp?cod_protocolo=4524510</v>
      </c>
      <c r="L350" t="str" cm="1">
        <f t="array" ref="L350">ExtrairHiperlink(E350)</f>
        <v>https://intra.senado.leg.br/sigad/novo/protocolo/impressao.asp?area=processo&amp;cod_protocolo=4508858&amp;cod_frente_verso=&amp;cod_juntada=&amp;txt_funcao=</v>
      </c>
    </row>
    <row r="351" spans="1:12" ht="81" x14ac:dyDescent="0.25">
      <c r="A351" s="195"/>
      <c r="B351" s="131"/>
      <c r="C351" s="108"/>
      <c r="D351" s="133"/>
      <c r="E351" s="10" t="s">
        <v>46</v>
      </c>
      <c r="F351" s="134"/>
      <c r="G351" s="171"/>
      <c r="H351" s="153"/>
      <c r="I351" s="198"/>
      <c r="J351" s="91" t="str" cm="1">
        <f t="array" ref="J351">NomeDaCor(A351)</f>
        <v>Roxo</v>
      </c>
      <c r="K351" s="450" t="str" cm="1">
        <f t="array" ref="K351">ExtrairHiperlink(D351)</f>
        <v>https://intra.senado.leg.br/sigad/novo/protocolo/impressao.asp?cod_protocolo=4524510</v>
      </c>
      <c r="L351" t="str" cm="1">
        <f t="array" ref="L351">ExtrairHiperlink(E351)</f>
        <v>https://intra.senado.leg.br/sigad/novo/protocolo/impressao.asp?area=processo&amp;cod_protocolo=4508858&amp;cod_frente_verso=&amp;cod_juntada=&amp;txt_funcao=</v>
      </c>
    </row>
    <row r="352" spans="1:12" ht="60" x14ac:dyDescent="0.25">
      <c r="A352" s="195"/>
      <c r="B352" s="105">
        <v>45950</v>
      </c>
      <c r="C352" s="107" t="s">
        <v>308</v>
      </c>
      <c r="D352" s="132" t="s">
        <v>648</v>
      </c>
      <c r="E352" s="68" t="s">
        <v>649</v>
      </c>
      <c r="F352" s="107" t="s">
        <v>650</v>
      </c>
      <c r="G352" s="147" t="s">
        <v>647</v>
      </c>
      <c r="H352" s="153"/>
      <c r="I352" s="198"/>
      <c r="J352" s="91" t="str" cm="1">
        <f t="array" ref="J352">NomeDaCor(A352)</f>
        <v>Roxo</v>
      </c>
      <c r="K352" s="450" t="str" cm="1">
        <f t="array" ref="K352">ExtrairHiperlink(D352)</f>
        <v>https://intra.senado.leg.br/sigad/novo/protocolo/impressao.asp?cod_protocolo=4536984&amp;area=processo</v>
      </c>
      <c r="L352" t="str" cm="1">
        <f t="array" ref="L352">ExtrairHiperlink(E352)</f>
        <v>https://intra.senado.leg.br/sigad/novo/protocolo/impressao.asp?cod_protocolo=4543420</v>
      </c>
    </row>
    <row r="353" spans="1:12" ht="81" x14ac:dyDescent="0.25">
      <c r="A353" s="195"/>
      <c r="B353" s="106"/>
      <c r="C353" s="108"/>
      <c r="D353" s="146"/>
      <c r="E353" s="10" t="s">
        <v>46</v>
      </c>
      <c r="F353" s="108"/>
      <c r="G353" s="171"/>
      <c r="H353" s="153"/>
      <c r="I353" s="198"/>
      <c r="J353" s="91" t="str" cm="1">
        <f t="array" ref="J353">NomeDaCor(A353)</f>
        <v>Roxo</v>
      </c>
      <c r="K353" s="450" t="str" cm="1">
        <f t="array" ref="K353">ExtrairHiperlink(D353)</f>
        <v>https://intra.senado.leg.br/sigad/novo/protocolo/impressao.asp?cod_protocolo=4536984&amp;area=processo</v>
      </c>
      <c r="L353" t="str" cm="1">
        <f t="array" ref="L353">ExtrairHiperlink(E353)</f>
        <v>https://intra.senado.leg.br/sigad/novo/protocolo/impressao.asp?cod_protocolo=4543420</v>
      </c>
    </row>
    <row r="354" spans="1:12" ht="60" x14ac:dyDescent="0.25">
      <c r="A354" s="195"/>
      <c r="B354" s="105">
        <v>45923</v>
      </c>
      <c r="C354" s="107" t="s">
        <v>417</v>
      </c>
      <c r="D354" s="132" t="s">
        <v>536</v>
      </c>
      <c r="E354" s="17" t="s">
        <v>583</v>
      </c>
      <c r="F354" s="107" t="s">
        <v>651</v>
      </c>
      <c r="G354" s="147" t="s">
        <v>652</v>
      </c>
      <c r="H354" s="153"/>
      <c r="I354" s="198"/>
      <c r="J354" s="91" t="str" cm="1">
        <f t="array" ref="J354">NomeDaCor(A354)</f>
        <v>Roxo</v>
      </c>
      <c r="K354" s="450" t="str" cm="1">
        <f t="array" ref="K354">ExtrairHiperlink(D354)</f>
        <v>https://intra.senado.leg.br/sigad/novo/protocolo/impressao.asp?cod_protocolo=4536984&amp;area=processo</v>
      </c>
      <c r="L354" t="str" cm="1">
        <f t="array" ref="L354">ExtrairHiperlink(E354)</f>
        <v>https://intra.senado.leg.br/sigad/novo/protocolo/impressao.asp?area=processo&amp;cod_protocolo=4500061&amp;cod_frente_verso=&amp;cod_juntada=&amp;txt_funcao=</v>
      </c>
    </row>
    <row r="355" spans="1:12" ht="81" x14ac:dyDescent="0.25">
      <c r="A355" s="196"/>
      <c r="B355" s="131"/>
      <c r="C355" s="108"/>
      <c r="D355" s="133"/>
      <c r="E355" s="10" t="s">
        <v>46</v>
      </c>
      <c r="F355" s="134"/>
      <c r="G355" s="143"/>
      <c r="H355" s="93"/>
      <c r="I355" s="199"/>
      <c r="J355" s="91" t="str" cm="1">
        <f t="array" ref="J355">NomeDaCor(A355)</f>
        <v>Roxo</v>
      </c>
      <c r="K355" s="450" t="str" cm="1">
        <f t="array" ref="K355">ExtrairHiperlink(D355)</f>
        <v>https://intra.senado.leg.br/sigad/novo/protocolo/impressao.asp?cod_protocolo=4536984&amp;area=processo</v>
      </c>
      <c r="L355" t="str" cm="1">
        <f t="array" ref="L355">ExtrairHiperlink(E355)</f>
        <v>https://intra.senado.leg.br/sigad/novo/protocolo/impressao.asp?area=processo&amp;cod_protocolo=4500061&amp;cod_frente_verso=&amp;cod_juntada=&amp;txt_funcao=</v>
      </c>
    </row>
    <row r="356" spans="1:12" ht="60" x14ac:dyDescent="0.25">
      <c r="A356" s="192"/>
      <c r="B356" s="105">
        <v>45693</v>
      </c>
      <c r="C356" s="107" t="s">
        <v>63</v>
      </c>
      <c r="D356" s="132" t="s">
        <v>38</v>
      </c>
      <c r="E356" s="2" t="s">
        <v>39</v>
      </c>
      <c r="F356" s="107" t="s">
        <v>653</v>
      </c>
      <c r="G356" s="147" t="s">
        <v>654</v>
      </c>
      <c r="H356" s="184"/>
      <c r="I356" s="185" t="s">
        <v>643</v>
      </c>
      <c r="J356" s="91" t="str" cm="1">
        <f t="array" ref="J356">NomeDaCor(A356)</f>
        <v>Vermelho</v>
      </c>
      <c r="K356" s="450" t="str" cm="1">
        <f t="array" ref="K356">ExtrairHiperlink(D356)</f>
        <v>https://intra.senado.leg.br/sigad/novo/protocolo/impressao.asp?cod_protocolo=4227195</v>
      </c>
      <c r="L356" t="str" cm="1">
        <f t="array" ref="L356">ExtrairHiperlink(E356)</f>
        <v>https://intra.senado.leg.br/sigad/novo/protocolo/impressao.asp?area=processo&amp;cod_protocolo=4236444&amp;cod_frente_verso=&amp;cod_juntada=&amp;txt_funcao=</v>
      </c>
    </row>
    <row r="357" spans="1:12" ht="81" x14ac:dyDescent="0.25">
      <c r="A357" s="192"/>
      <c r="B357" s="106"/>
      <c r="C357" s="109"/>
      <c r="D357" s="146"/>
      <c r="E357" s="10" t="s">
        <v>46</v>
      </c>
      <c r="F357" s="108"/>
      <c r="G357" s="111"/>
      <c r="H357" s="184"/>
      <c r="I357" s="186"/>
      <c r="J357" s="91" t="str" cm="1">
        <f t="array" ref="J357">NomeDaCor(A357)</f>
        <v>Vermelho</v>
      </c>
      <c r="K357" s="450" t="str" cm="1">
        <f t="array" ref="K357">ExtrairHiperlink(D357)</f>
        <v>https://intra.senado.leg.br/sigad/novo/protocolo/impressao.asp?cod_protocolo=4227195</v>
      </c>
      <c r="L357" t="str" cm="1">
        <f t="array" ref="L357">ExtrairHiperlink(E357)</f>
        <v>https://intra.senado.leg.br/sigad/novo/protocolo/impressao.asp?area=processo&amp;cod_protocolo=4236444&amp;cod_frente_verso=&amp;cod_juntada=&amp;txt_funcao=</v>
      </c>
    </row>
    <row r="358" spans="1:12" x14ac:dyDescent="0.25">
      <c r="A358" s="154" t="s">
        <v>18</v>
      </c>
      <c r="B358" s="155"/>
      <c r="C358" s="156" t="s">
        <v>655</v>
      </c>
      <c r="D358" s="187" t="s">
        <v>656</v>
      </c>
      <c r="E358" s="189"/>
      <c r="F358" s="190" t="s">
        <v>657</v>
      </c>
      <c r="G358" s="148" t="s">
        <v>658</v>
      </c>
      <c r="H358" s="150"/>
      <c r="I358" s="151" t="s">
        <v>24</v>
      </c>
      <c r="J358" s="91" t="str" cm="1">
        <f t="array" ref="J358">NomeDaCor(A358)</f>
        <v>Preto</v>
      </c>
      <c r="K358" s="450" t="str" cm="1">
        <f t="array" ref="K358">ExtrairHiperlink(D358)</f>
        <v>https://intra.senado.leg.br/sigad/novo/protocolo/impressao.asp?cod_protocolo=4227195</v>
      </c>
      <c r="L358" t="str" cm="1">
        <f t="array" ref="L358">ExtrairHiperlink(E358)</f>
        <v>https://intra.senado.leg.br/sigad/novo/protocolo/impressao.asp?area=processo&amp;cod_protocolo=4236444&amp;cod_frente_verso=&amp;cod_juntada=&amp;txt_funcao=</v>
      </c>
    </row>
    <row r="359" spans="1:12" x14ac:dyDescent="0.25">
      <c r="A359" s="175"/>
      <c r="B359" s="176"/>
      <c r="C359" s="177"/>
      <c r="D359" s="188"/>
      <c r="E359" s="180"/>
      <c r="F359" s="191"/>
      <c r="G359" s="127"/>
      <c r="H359" s="182"/>
      <c r="I359" s="130"/>
      <c r="J359" s="91" t="str" cm="1">
        <f t="array" ref="J359">NomeDaCor(A359)</f>
        <v>Preto</v>
      </c>
      <c r="K359" s="450" t="str" cm="1">
        <f t="array" ref="K359">ExtrairHiperlink(D359)</f>
        <v>https://intra.senado.leg.br/sigad/novo/protocolo/impressao.asp?cod_protocolo=4227195</v>
      </c>
      <c r="L359" t="str" cm="1">
        <f t="array" ref="L359">ExtrairHiperlink(E359)</f>
        <v>https://intra.senado.leg.br/sigad/novo/protocolo/impressao.asp?area=processo&amp;cod_protocolo=4236444&amp;cod_frente_verso=&amp;cod_juntada=&amp;txt_funcao=</v>
      </c>
    </row>
    <row r="360" spans="1:12" x14ac:dyDescent="0.25">
      <c r="A360" s="114" t="s">
        <v>18</v>
      </c>
      <c r="B360" s="116">
        <v>45946</v>
      </c>
      <c r="C360" s="118" t="s">
        <v>659</v>
      </c>
      <c r="D360" s="178" t="s">
        <v>660</v>
      </c>
      <c r="E360" s="122"/>
      <c r="F360" s="118" t="s">
        <v>661</v>
      </c>
      <c r="G360" s="181" t="s">
        <v>662</v>
      </c>
      <c r="H360" s="120"/>
      <c r="I360" s="183" t="s">
        <v>24</v>
      </c>
      <c r="J360" s="91" t="str" cm="1">
        <f t="array" ref="J360">NomeDaCor(A360)</f>
        <v>Preto</v>
      </c>
      <c r="K360" s="450" t="str" cm="1">
        <f t="array" ref="K360">ExtrairHiperlink(D360)</f>
        <v>https://intra.senado.leg.br/sigad/novo/protocolo/impressao.asp?cod_protocolo=4529411&amp;area=processo</v>
      </c>
      <c r="L360" t="str" cm="1">
        <f t="array" ref="L360">ExtrairHiperlink(E360)</f>
        <v>https://intra.senado.leg.br/sigad/novo/protocolo/impressao.asp?area=processo&amp;cod_protocolo=4236444&amp;cod_frente_verso=&amp;cod_juntada=&amp;txt_funcao=</v>
      </c>
    </row>
    <row r="361" spans="1:12" x14ac:dyDescent="0.25">
      <c r="A361" s="175"/>
      <c r="B361" s="176"/>
      <c r="C361" s="177"/>
      <c r="D361" s="179"/>
      <c r="E361" s="180"/>
      <c r="F361" s="177"/>
      <c r="G361" s="127"/>
      <c r="H361" s="182"/>
      <c r="I361" s="130"/>
      <c r="J361" s="91" t="str" cm="1">
        <f t="array" ref="J361">NomeDaCor(A361)</f>
        <v>Preto</v>
      </c>
      <c r="K361" s="450" t="str" cm="1">
        <f t="array" ref="K361">ExtrairHiperlink(D361)</f>
        <v>https://intra.senado.leg.br/sigad/novo/protocolo/impressao.asp?cod_protocolo=4529411&amp;area=processo</v>
      </c>
      <c r="L361" t="str" cm="1">
        <f t="array" ref="L361">ExtrairHiperlink(E361)</f>
        <v>https://intra.senado.leg.br/sigad/novo/protocolo/impressao.asp?area=processo&amp;cod_protocolo=4236444&amp;cod_frente_verso=&amp;cod_juntada=&amp;txt_funcao=</v>
      </c>
    </row>
    <row r="362" spans="1:12" ht="60" x14ac:dyDescent="0.25">
      <c r="A362" s="174"/>
      <c r="B362" s="131">
        <v>45692</v>
      </c>
      <c r="C362" s="142" t="s">
        <v>55</v>
      </c>
      <c r="D362" s="133" t="s">
        <v>137</v>
      </c>
      <c r="E362" s="3" t="s">
        <v>138</v>
      </c>
      <c r="F362" s="142" t="s">
        <v>663</v>
      </c>
      <c r="G362" s="169" t="s">
        <v>664</v>
      </c>
      <c r="H362" s="153"/>
      <c r="I362" s="167" t="s">
        <v>665</v>
      </c>
      <c r="J362" s="91" t="str" cm="1">
        <f t="array" ref="J362">NomeDaCor(A362)</f>
        <v>Azul</v>
      </c>
      <c r="K362" s="450" t="str" cm="1">
        <f t="array" ref="K362">ExtrairHiperlink(D362)</f>
        <v>https://intra.senado.leg.br/sigad/novo/protocolo/impressao.asp?cod_protocolo=4228774&amp;area=processo</v>
      </c>
      <c r="L362" t="str" cm="1">
        <f t="array" ref="L362">ExtrairHiperlink(E362)</f>
        <v>https://intra.senado.leg.br/sigad/novo/protocolo/impressao.asp?cod_protocolo=4241698&amp;area=documento</v>
      </c>
    </row>
    <row r="363" spans="1:12" ht="81" x14ac:dyDescent="0.25">
      <c r="A363" s="174"/>
      <c r="B363" s="106"/>
      <c r="C363" s="109"/>
      <c r="D363" s="146"/>
      <c r="E363" s="10" t="s">
        <v>46</v>
      </c>
      <c r="F363" s="108"/>
      <c r="G363" s="111"/>
      <c r="H363" s="153"/>
      <c r="I363" s="167"/>
      <c r="J363" s="91" t="str" cm="1">
        <f t="array" ref="J363">NomeDaCor(A363)</f>
        <v>Azul</v>
      </c>
      <c r="K363" s="450" t="str" cm="1">
        <f t="array" ref="K363">ExtrairHiperlink(D363)</f>
        <v>https://intra.senado.leg.br/sigad/novo/protocolo/impressao.asp?cod_protocolo=4228774&amp;area=processo</v>
      </c>
      <c r="L363" t="str" cm="1">
        <f t="array" ref="L363">ExtrairHiperlink(E363)</f>
        <v>https://intra.senado.leg.br/sigad/novo/protocolo/impressao.asp?cod_protocolo=4241698&amp;area=documento</v>
      </c>
    </row>
    <row r="364" spans="1:12" ht="60" x14ac:dyDescent="0.25">
      <c r="A364" s="174"/>
      <c r="B364" s="105">
        <v>45923</v>
      </c>
      <c r="C364" s="107" t="s">
        <v>417</v>
      </c>
      <c r="D364" s="132" t="s">
        <v>536</v>
      </c>
      <c r="E364" s="17" t="s">
        <v>583</v>
      </c>
      <c r="F364" s="107" t="s">
        <v>666</v>
      </c>
      <c r="G364" s="147" t="s">
        <v>667</v>
      </c>
      <c r="H364" s="153"/>
      <c r="I364" s="167"/>
      <c r="J364" s="91" t="str" cm="1">
        <f t="array" ref="J364">NomeDaCor(A364)</f>
        <v>Azul</v>
      </c>
      <c r="K364" s="450" t="str" cm="1">
        <f t="array" ref="K364">ExtrairHiperlink(D364)</f>
        <v>https://intra.senado.leg.br/sigad/novo/protocolo/impressao.asp?cod_protocolo=4228774&amp;area=processo</v>
      </c>
      <c r="L364" t="str" cm="1">
        <f t="array" ref="L364">ExtrairHiperlink(E364)</f>
        <v>https://intra.senado.leg.br/sigad/novo/protocolo/impressao.asp?area=processo&amp;cod_protocolo=4500061&amp;cod_frente_verso=&amp;cod_juntada=&amp;txt_funcao=</v>
      </c>
    </row>
    <row r="365" spans="1:12" ht="81" x14ac:dyDescent="0.25">
      <c r="A365" s="174"/>
      <c r="B365" s="131"/>
      <c r="C365" s="108"/>
      <c r="D365" s="133"/>
      <c r="E365" s="10" t="s">
        <v>46</v>
      </c>
      <c r="F365" s="134"/>
      <c r="G365" s="143"/>
      <c r="H365" s="153"/>
      <c r="I365" s="167"/>
      <c r="J365" s="91" t="str" cm="1">
        <f t="array" ref="J365">NomeDaCor(A365)</f>
        <v>Azul</v>
      </c>
      <c r="K365" s="450" t="str" cm="1">
        <f t="array" ref="K365">ExtrairHiperlink(D365)</f>
        <v>https://intra.senado.leg.br/sigad/novo/protocolo/impressao.asp?cod_protocolo=4228774&amp;area=processo</v>
      </c>
      <c r="L365" t="str" cm="1">
        <f t="array" ref="L365">ExtrairHiperlink(E365)</f>
        <v>https://intra.senado.leg.br/sigad/novo/protocolo/impressao.asp?area=processo&amp;cod_protocolo=4500061&amp;cod_frente_verso=&amp;cod_juntada=&amp;txt_funcao=</v>
      </c>
    </row>
    <row r="366" spans="1:12" ht="60" x14ac:dyDescent="0.25">
      <c r="A366" s="174"/>
      <c r="B366" s="105">
        <v>45923</v>
      </c>
      <c r="C366" s="107" t="s">
        <v>82</v>
      </c>
      <c r="D366" s="132" t="s">
        <v>668</v>
      </c>
      <c r="E366" s="17" t="s">
        <v>669</v>
      </c>
      <c r="F366" s="107" t="s">
        <v>670</v>
      </c>
      <c r="G366" s="147" t="s">
        <v>667</v>
      </c>
      <c r="H366" s="153"/>
      <c r="I366" s="167"/>
      <c r="J366" s="91" t="str" cm="1">
        <f t="array" ref="J366">NomeDaCor(A366)</f>
        <v>Azul</v>
      </c>
      <c r="K366" s="450" t="str" cm="1">
        <f t="array" ref="K366">ExtrairHiperlink(D366)</f>
        <v>https://intra.senado.leg.br/sigad/novo/protocolo/impressao.asp?cod_protocolo=4228774&amp;area=processo</v>
      </c>
      <c r="L366" t="str" cm="1">
        <f t="array" ref="L366">ExtrairHiperlink(E366)</f>
        <v>https://intra.senado.leg.br/sigad/novo/protocolo/impressao.asp?area=processo&amp;cod_protocolo=4501285&amp;cod_frente_verso=&amp;cod_juntada=&amp;txt_funcao=</v>
      </c>
    </row>
    <row r="367" spans="1:12" ht="81" x14ac:dyDescent="0.25">
      <c r="A367" s="174"/>
      <c r="B367" s="131"/>
      <c r="C367" s="108"/>
      <c r="D367" s="133"/>
      <c r="E367" s="10" t="s">
        <v>46</v>
      </c>
      <c r="F367" s="134"/>
      <c r="G367" s="143"/>
      <c r="H367" s="153"/>
      <c r="I367" s="167"/>
      <c r="J367" s="91" t="str" cm="1">
        <f t="array" ref="J367">NomeDaCor(A367)</f>
        <v>Azul</v>
      </c>
      <c r="K367" s="450" t="str" cm="1">
        <f t="array" ref="K367">ExtrairHiperlink(D367)</f>
        <v>https://intra.senado.leg.br/sigad/novo/protocolo/impressao.asp?cod_protocolo=4228774&amp;area=processo</v>
      </c>
      <c r="L367" t="str" cm="1">
        <f t="array" ref="L367">ExtrairHiperlink(E367)</f>
        <v>https://intra.senado.leg.br/sigad/novo/protocolo/impressao.asp?area=processo&amp;cod_protocolo=4501285&amp;cod_frente_verso=&amp;cod_juntada=&amp;txt_funcao=</v>
      </c>
    </row>
    <row r="368" spans="1:12" ht="60" x14ac:dyDescent="0.25">
      <c r="A368" s="174"/>
      <c r="B368" s="105">
        <v>45728</v>
      </c>
      <c r="C368" s="145" t="s">
        <v>114</v>
      </c>
      <c r="D368" s="173" t="s">
        <v>115</v>
      </c>
      <c r="E368" s="2" t="s">
        <v>116</v>
      </c>
      <c r="F368" s="107" t="s">
        <v>666</v>
      </c>
      <c r="G368" s="147" t="s">
        <v>671</v>
      </c>
      <c r="H368" s="153"/>
      <c r="I368" s="167"/>
      <c r="J368" s="91" t="str" cm="1">
        <f t="array" ref="J368">NomeDaCor(A368)</f>
        <v>Azul</v>
      </c>
      <c r="K368" s="450" t="str" cm="1">
        <f t="array" ref="K368">ExtrairHiperlink(D368)</f>
        <v>https://intra.senado.leg.br/sigad/novo/protocolo/impressao.asp?cod_protocolo=4228774&amp;area=processo</v>
      </c>
      <c r="L368" t="str" cm="1">
        <f t="array" ref="L368">ExtrairHiperlink(E368)</f>
        <v>https://intra.senado.leg.br/sigad/novo/protocolo/impressao.asp?area=processo&amp;cod_protocolo=4269913&amp;cod_frente_verso=&amp;cod_juntada=&amp;txt_funcao=</v>
      </c>
    </row>
    <row r="369" spans="1:12" ht="81" x14ac:dyDescent="0.25">
      <c r="A369" s="174"/>
      <c r="B369" s="106"/>
      <c r="C369" s="109"/>
      <c r="D369" s="146"/>
      <c r="E369" s="10" t="s">
        <v>46</v>
      </c>
      <c r="F369" s="109"/>
      <c r="G369" s="111"/>
      <c r="H369" s="153"/>
      <c r="I369" s="167"/>
      <c r="J369" s="91" t="str" cm="1">
        <f t="array" ref="J369">NomeDaCor(A369)</f>
        <v>Azul</v>
      </c>
      <c r="K369" s="450" t="str" cm="1">
        <f t="array" ref="K369">ExtrairHiperlink(D369)</f>
        <v>https://intra.senado.leg.br/sigad/novo/protocolo/impressao.asp?cod_protocolo=4228774&amp;area=processo</v>
      </c>
      <c r="L369" t="str" cm="1">
        <f t="array" ref="L369">ExtrairHiperlink(E369)</f>
        <v>https://intra.senado.leg.br/sigad/novo/protocolo/impressao.asp?area=processo&amp;cod_protocolo=4269913&amp;cod_frente_verso=&amp;cod_juntada=&amp;txt_funcao=</v>
      </c>
    </row>
    <row r="370" spans="1:12" ht="60" x14ac:dyDescent="0.25">
      <c r="A370" s="174"/>
      <c r="B370" s="105">
        <v>45939</v>
      </c>
      <c r="C370" s="107" t="s">
        <v>234</v>
      </c>
      <c r="D370" s="132" t="s">
        <v>672</v>
      </c>
      <c r="E370" s="87" t="s">
        <v>673</v>
      </c>
      <c r="F370" s="107" t="s">
        <v>674</v>
      </c>
      <c r="G370" s="147" t="s">
        <v>671</v>
      </c>
      <c r="H370" s="153"/>
      <c r="I370" s="167"/>
      <c r="J370" s="91" t="str" cm="1">
        <f t="array" ref="J370">NomeDaCor(A370)</f>
        <v>Azul</v>
      </c>
      <c r="K370" s="450" t="str" cm="1">
        <f t="array" ref="K370">ExtrairHiperlink(D370)</f>
        <v>https://intra.senado.leg.br/sigad/novo/protocolo/impressao.asp?cod_protocolo=4521954&amp;area=processo</v>
      </c>
      <c r="L370" t="str" cm="1">
        <f t="array" ref="L370">ExtrairHiperlink(E370)</f>
        <v>https://intra.senado.leg.br/sigad/novo/protocolo/impressao.asp?cod_protocolo=4534783</v>
      </c>
    </row>
    <row r="371" spans="1:12" ht="81" x14ac:dyDescent="0.25">
      <c r="A371" s="174"/>
      <c r="B371" s="106"/>
      <c r="C371" s="108"/>
      <c r="D371" s="146"/>
      <c r="E371" s="10" t="s">
        <v>46</v>
      </c>
      <c r="F371" s="134"/>
      <c r="G371" s="111"/>
      <c r="H371" s="153"/>
      <c r="I371" s="167"/>
      <c r="J371" s="91" t="str" cm="1">
        <f t="array" ref="J371">NomeDaCor(A371)</f>
        <v>Azul</v>
      </c>
      <c r="K371" s="450" t="str" cm="1">
        <f t="array" ref="K371">ExtrairHiperlink(D371)</f>
        <v>https://intra.senado.leg.br/sigad/novo/protocolo/impressao.asp?cod_protocolo=4521954&amp;area=processo</v>
      </c>
      <c r="L371" t="str" cm="1">
        <f t="array" ref="L371">ExtrairHiperlink(E371)</f>
        <v>https://intra.senado.leg.br/sigad/novo/protocolo/impressao.asp?cod_protocolo=4534783</v>
      </c>
    </row>
    <row r="372" spans="1:12" ht="60" x14ac:dyDescent="0.25">
      <c r="A372" s="174"/>
      <c r="B372" s="105">
        <v>45924</v>
      </c>
      <c r="C372" s="145" t="s">
        <v>675</v>
      </c>
      <c r="D372" s="132" t="s">
        <v>676</v>
      </c>
      <c r="E372" s="68" t="s">
        <v>677</v>
      </c>
      <c r="F372" s="107" t="s">
        <v>678</v>
      </c>
      <c r="G372" s="147" t="s">
        <v>679</v>
      </c>
      <c r="H372" s="153"/>
      <c r="I372" s="167"/>
      <c r="J372" s="91" t="str" cm="1">
        <f t="array" ref="J372">NomeDaCor(A372)</f>
        <v>Azul</v>
      </c>
      <c r="K372" s="450" t="str" cm="1">
        <f t="array" ref="K372">ExtrairHiperlink(D372)</f>
        <v>https://intra.senado.leg.br/sigad/novo/protocolo/impressao.asp?cod_protocolo=4497692&amp;area=processo</v>
      </c>
      <c r="L372" t="str" cm="1">
        <f t="array" ref="L372">ExtrairHiperlink(E372)</f>
        <v>https://intra.senado.leg.br/sigad/novo/protocolo/impressao.asp?cod_protocolo=4537024</v>
      </c>
    </row>
    <row r="373" spans="1:12" ht="81" x14ac:dyDescent="0.25">
      <c r="A373" s="174"/>
      <c r="B373" s="106"/>
      <c r="C373" s="109"/>
      <c r="D373" s="146"/>
      <c r="E373" s="10" t="s">
        <v>46</v>
      </c>
      <c r="F373" s="109"/>
      <c r="G373" s="171"/>
      <c r="H373" s="153"/>
      <c r="I373" s="167"/>
      <c r="J373" s="91" t="str" cm="1">
        <f t="array" ref="J373">NomeDaCor(A373)</f>
        <v>Azul</v>
      </c>
      <c r="K373" s="450" t="str" cm="1">
        <f t="array" ref="K373">ExtrairHiperlink(D373)</f>
        <v>https://intra.senado.leg.br/sigad/novo/protocolo/impressao.asp?cod_protocolo=4497692&amp;area=processo</v>
      </c>
      <c r="L373" t="str" cm="1">
        <f t="array" ref="L373">ExtrairHiperlink(E373)</f>
        <v>https://intra.senado.leg.br/sigad/novo/protocolo/impressao.asp?cod_protocolo=4537024</v>
      </c>
    </row>
    <row r="374" spans="1:12" ht="60" x14ac:dyDescent="0.25">
      <c r="A374" s="174"/>
      <c r="B374" s="105">
        <v>45904</v>
      </c>
      <c r="C374" s="145" t="s">
        <v>608</v>
      </c>
      <c r="D374" s="132" t="s">
        <v>609</v>
      </c>
      <c r="E374" s="3" t="s">
        <v>610</v>
      </c>
      <c r="F374" s="107" t="s">
        <v>680</v>
      </c>
      <c r="G374" s="147" t="s">
        <v>679</v>
      </c>
      <c r="H374" s="153"/>
      <c r="I374" s="167"/>
      <c r="J374" s="91" t="str" cm="1">
        <f t="array" ref="J374">NomeDaCor(A374)</f>
        <v>Azul</v>
      </c>
      <c r="K374" s="450" t="str" cm="1">
        <f t="array" ref="K374">ExtrairHiperlink(D374)</f>
        <v>https://intra.senado.leg.br/sigad/novo/protocolo/impressao.asp?cod_protocolo=4477362&amp;area=processo</v>
      </c>
      <c r="L374" t="str" cm="1">
        <f t="array" ref="L374">ExtrairHiperlink(E374)</f>
        <v>https://intra.senado.leg.br/sigad/novo/protocolo/impressao.asp?area=processo&amp;cod_protocolo=4488026&amp;cod_frente_verso=&amp;cod_juntada=&amp;txt_funcao=</v>
      </c>
    </row>
    <row r="375" spans="1:12" ht="81" x14ac:dyDescent="0.25">
      <c r="A375" s="137"/>
      <c r="B375" s="106"/>
      <c r="C375" s="172"/>
      <c r="D375" s="146"/>
      <c r="E375" s="10" t="s">
        <v>46</v>
      </c>
      <c r="F375" s="109"/>
      <c r="G375" s="171"/>
      <c r="H375" s="93"/>
      <c r="I375" s="168"/>
      <c r="J375" s="91" t="str" cm="1">
        <f t="array" ref="J375">NomeDaCor(A375)</f>
        <v>Azul</v>
      </c>
      <c r="K375" s="450" t="str" cm="1">
        <f t="array" ref="K375">ExtrairHiperlink(D375)</f>
        <v>https://intra.senado.leg.br/sigad/novo/protocolo/impressao.asp?cod_protocolo=4477362&amp;area=processo</v>
      </c>
      <c r="L375" t="str" cm="1">
        <f t="array" ref="L375">ExtrairHiperlink(E375)</f>
        <v>https://intra.senado.leg.br/sigad/novo/protocolo/impressao.asp?area=processo&amp;cod_protocolo=4488026&amp;cod_frente_verso=&amp;cod_juntada=&amp;txt_funcao=</v>
      </c>
    </row>
    <row r="376" spans="1:12" ht="60" x14ac:dyDescent="0.25">
      <c r="A376" s="138"/>
      <c r="B376" s="105">
        <v>45652</v>
      </c>
      <c r="C376" s="107" t="s">
        <v>405</v>
      </c>
      <c r="D376" s="100" t="s">
        <v>27</v>
      </c>
      <c r="E376" s="2" t="s">
        <v>28</v>
      </c>
      <c r="F376" s="107" t="s">
        <v>681</v>
      </c>
      <c r="G376" s="135">
        <v>45978</v>
      </c>
      <c r="H376" s="92"/>
      <c r="I376" s="166" t="s">
        <v>665</v>
      </c>
      <c r="J376" s="91" t="str" cm="1">
        <f t="array" ref="J376">NomeDaCor(A376)</f>
        <v>Roxo</v>
      </c>
      <c r="K376" s="450" t="str" cm="1">
        <f t="array" ref="K376">ExtrairHiperlink(D376)</f>
        <v>https://intra.senado.leg.br/sigad/novo/protocolo/impressao.asp?cod_protocolo=4184491&amp;area=processo</v>
      </c>
      <c r="L376" t="str" cm="1">
        <f t="array" ref="L376">ExtrairHiperlink(E376)</f>
        <v>https://intra.senado.leg.br/sigad/novo/protocolo/impressao.asp?area=processo&amp;cod_protocolo=4223434&amp;cod_frente_verso=&amp;cod_juntada=&amp;txt_funcao=</v>
      </c>
    </row>
    <row r="377" spans="1:12" ht="81" x14ac:dyDescent="0.25">
      <c r="A377" s="170"/>
      <c r="B377" s="106"/>
      <c r="C377" s="108"/>
      <c r="D377" s="100"/>
      <c r="E377" s="56" t="s">
        <v>46</v>
      </c>
      <c r="F377" s="109"/>
      <c r="G377" s="171"/>
      <c r="H377" s="153"/>
      <c r="I377" s="167"/>
      <c r="J377" s="91" t="str" cm="1">
        <f t="array" ref="J377">NomeDaCor(A377)</f>
        <v>Roxo</v>
      </c>
      <c r="K377" s="450" t="str" cm="1">
        <f t="array" ref="K377">ExtrairHiperlink(D377)</f>
        <v>https://intra.senado.leg.br/sigad/novo/protocolo/impressao.asp?cod_protocolo=4184491&amp;area=processo</v>
      </c>
      <c r="L377" t="str" cm="1">
        <f t="array" ref="L377">ExtrairHiperlink(E377)</f>
        <v>https://intra.senado.leg.br/sigad/novo/protocolo/impressao.asp?area=processo&amp;cod_protocolo=4223434&amp;cod_frente_verso=&amp;cod_juntada=&amp;txt_funcao=</v>
      </c>
    </row>
    <row r="378" spans="1:12" ht="60" x14ac:dyDescent="0.25">
      <c r="A378" s="170"/>
      <c r="B378" s="105">
        <v>45728</v>
      </c>
      <c r="C378" s="145" t="s">
        <v>114</v>
      </c>
      <c r="D378" s="132" t="s">
        <v>115</v>
      </c>
      <c r="E378" s="2" t="s">
        <v>116</v>
      </c>
      <c r="F378" s="107" t="s">
        <v>682</v>
      </c>
      <c r="G378" s="147" t="s">
        <v>683</v>
      </c>
      <c r="H378" s="153"/>
      <c r="I378" s="167"/>
      <c r="J378" s="91" t="str" cm="1">
        <f t="array" ref="J378">NomeDaCor(A378)</f>
        <v>Roxo</v>
      </c>
      <c r="K378" s="450" t="str" cm="1">
        <f t="array" ref="K378">ExtrairHiperlink(D378)</f>
        <v>https://intra.senado.leg.br/sigad/novo/protocolo/impressao.asp?cod_protocolo=4269985&amp;area=processo</v>
      </c>
      <c r="L378" t="str" cm="1">
        <f t="array" ref="L378">ExtrairHiperlink(E378)</f>
        <v>https://intra.senado.leg.br/sigad/novo/protocolo/impressao.asp?area=processo&amp;cod_protocolo=4269913&amp;cod_frente_verso=&amp;cod_juntada=&amp;txt_funcao=</v>
      </c>
    </row>
    <row r="379" spans="1:12" ht="81" x14ac:dyDescent="0.25">
      <c r="A379" s="170"/>
      <c r="B379" s="106"/>
      <c r="C379" s="109"/>
      <c r="D379" s="146"/>
      <c r="E379" s="10" t="s">
        <v>46</v>
      </c>
      <c r="F379" s="109"/>
      <c r="G379" s="169"/>
      <c r="H379" s="153"/>
      <c r="I379" s="167"/>
      <c r="J379" s="91" t="str" cm="1">
        <f t="array" ref="J379">NomeDaCor(A379)</f>
        <v>Roxo</v>
      </c>
      <c r="K379" s="450" t="str" cm="1">
        <f t="array" ref="K379">ExtrairHiperlink(D379)</f>
        <v>https://intra.senado.leg.br/sigad/novo/protocolo/impressao.asp?cod_protocolo=4269985&amp;area=processo</v>
      </c>
      <c r="L379" t="str" cm="1">
        <f t="array" ref="L379">ExtrairHiperlink(E379)</f>
        <v>https://intra.senado.leg.br/sigad/novo/protocolo/impressao.asp?area=processo&amp;cod_protocolo=4269913&amp;cod_frente_verso=&amp;cod_juntada=&amp;txt_funcao=</v>
      </c>
    </row>
    <row r="380" spans="1:12" ht="75" x14ac:dyDescent="0.25">
      <c r="A380" s="170"/>
      <c r="B380" s="105">
        <v>45924</v>
      </c>
      <c r="C380" s="107" t="s">
        <v>684</v>
      </c>
      <c r="D380" s="132" t="s">
        <v>685</v>
      </c>
      <c r="E380" s="68" t="s">
        <v>686</v>
      </c>
      <c r="F380" s="107" t="s">
        <v>687</v>
      </c>
      <c r="G380" s="135">
        <v>45978</v>
      </c>
      <c r="H380" s="153"/>
      <c r="I380" s="167"/>
      <c r="J380" s="91" t="str" cm="1">
        <f t="array" ref="J380">NomeDaCor(A380)</f>
        <v>Roxo</v>
      </c>
      <c r="K380" s="450" t="str" cm="1">
        <f t="array" ref="K380">ExtrairHiperlink(D380)</f>
        <v>https://intra.senado.leg.br/sigad/novo/protocolo/impressao.asp?cod_protocolo=4500112&amp;area=processo</v>
      </c>
      <c r="L380" t="str" cm="1">
        <f t="array" ref="L380">ExtrairHiperlink(E380)</f>
        <v>https://intra.senado.leg.br/sigad/novo/protocolo/impressao.asp?cod_protocolo=4537003</v>
      </c>
    </row>
    <row r="381" spans="1:12" ht="81" x14ac:dyDescent="0.25">
      <c r="A381" s="139"/>
      <c r="B381" s="106"/>
      <c r="C381" s="109"/>
      <c r="D381" s="146"/>
      <c r="E381" s="10" t="s">
        <v>46</v>
      </c>
      <c r="F381" s="109"/>
      <c r="G381" s="171"/>
      <c r="H381" s="93"/>
      <c r="I381" s="168"/>
      <c r="J381" s="91" t="str" cm="1">
        <f t="array" ref="J381">NomeDaCor(A381)</f>
        <v>Roxo</v>
      </c>
      <c r="K381" s="450" t="str" cm="1">
        <f t="array" ref="K381">ExtrairHiperlink(D381)</f>
        <v>https://intra.senado.leg.br/sigad/novo/protocolo/impressao.asp?cod_protocolo=4500112&amp;area=processo</v>
      </c>
      <c r="L381" t="str" cm="1">
        <f t="array" ref="L381">ExtrairHiperlink(E381)</f>
        <v>https://intra.senado.leg.br/sigad/novo/protocolo/impressao.asp?cod_protocolo=4537003</v>
      </c>
    </row>
    <row r="382" spans="1:12" ht="60" x14ac:dyDescent="0.25">
      <c r="A382" s="140"/>
      <c r="B382" s="105">
        <v>45692</v>
      </c>
      <c r="C382" s="107" t="s">
        <v>55</v>
      </c>
      <c r="D382" s="132" t="s">
        <v>137</v>
      </c>
      <c r="E382" s="2" t="s">
        <v>138</v>
      </c>
      <c r="F382" s="107" t="s">
        <v>688</v>
      </c>
      <c r="G382" s="110">
        <v>45980</v>
      </c>
      <c r="H382" s="92"/>
      <c r="I382" s="94" t="s">
        <v>665</v>
      </c>
      <c r="J382" s="91" t="str" cm="1">
        <f t="array" ref="J382">NomeDaCor(A382)</f>
        <v>Verde</v>
      </c>
      <c r="K382" s="450" t="str" cm="1">
        <f t="array" ref="K382">ExtrairHiperlink(D382)</f>
        <v>https://intra.senado.leg.br/sigad/novo/protocolo/impressao.asp?cod_protocolo=4228774&amp;area=processo</v>
      </c>
      <c r="L382" t="str" cm="1">
        <f t="array" ref="L382">ExtrairHiperlink(E382)</f>
        <v>https://intra.senado.leg.br/sigad/novo/protocolo/impressao.asp?cod_protocolo=4241698&amp;area=documento</v>
      </c>
    </row>
    <row r="383" spans="1:12" ht="81" x14ac:dyDescent="0.25">
      <c r="A383" s="141"/>
      <c r="B383" s="106"/>
      <c r="C383" s="109"/>
      <c r="D383" s="146"/>
      <c r="E383" s="10" t="s">
        <v>46</v>
      </c>
      <c r="F383" s="109"/>
      <c r="G383" s="111"/>
      <c r="H383" s="93"/>
      <c r="I383" s="95"/>
      <c r="J383" s="91" t="str" cm="1">
        <f t="array" ref="J383">NomeDaCor(A383)</f>
        <v>Verde</v>
      </c>
      <c r="K383" s="450" t="str" cm="1">
        <f t="array" ref="K383">ExtrairHiperlink(D383)</f>
        <v>https://intra.senado.leg.br/sigad/novo/protocolo/impressao.asp?cod_protocolo=4228774&amp;area=processo</v>
      </c>
      <c r="L383" t="str" cm="1">
        <f t="array" ref="L383">ExtrairHiperlink(E383)</f>
        <v>https://intra.senado.leg.br/sigad/novo/protocolo/impressao.asp?cod_protocolo=4241698&amp;area=documento</v>
      </c>
    </row>
    <row r="384" spans="1:12" x14ac:dyDescent="0.25">
      <c r="A384" s="114" t="s">
        <v>18</v>
      </c>
      <c r="B384" s="116"/>
      <c r="C384" s="118" t="s">
        <v>655</v>
      </c>
      <c r="D384" s="120"/>
      <c r="E384" s="122"/>
      <c r="F384" s="124" t="s">
        <v>689</v>
      </c>
      <c r="G384" s="126" t="s">
        <v>690</v>
      </c>
      <c r="H384" s="128"/>
      <c r="I384" s="151" t="s">
        <v>24</v>
      </c>
      <c r="J384" s="91" t="str" cm="1">
        <f t="array" ref="J384">NomeDaCor(A384)</f>
        <v>Preto</v>
      </c>
      <c r="K384" s="450" t="str" cm="1">
        <f t="array" ref="K384">ExtrairHiperlink(D384)</f>
        <v>https://intra.senado.leg.br/sigad/novo/protocolo/impressao.asp?cod_protocolo=4228774&amp;area=processo</v>
      </c>
      <c r="L384" t="str" cm="1">
        <f t="array" ref="L384">ExtrairHiperlink(E384)</f>
        <v>https://intra.senado.leg.br/sigad/novo/protocolo/impressao.asp?cod_protocolo=4241698&amp;area=documento</v>
      </c>
    </row>
    <row r="385" spans="1:12" x14ac:dyDescent="0.25">
      <c r="A385" s="115"/>
      <c r="B385" s="117"/>
      <c r="C385" s="119"/>
      <c r="D385" s="121"/>
      <c r="E385" s="123"/>
      <c r="F385" s="125"/>
      <c r="G385" s="127"/>
      <c r="H385" s="128"/>
      <c r="I385" s="152"/>
      <c r="J385" s="91" t="str" cm="1">
        <f t="array" ref="J385">NomeDaCor(A385)</f>
        <v>Preto</v>
      </c>
      <c r="K385" s="450" t="str" cm="1">
        <f t="array" ref="K385">ExtrairHiperlink(D385)</f>
        <v>https://intra.senado.leg.br/sigad/novo/protocolo/impressao.asp?cod_protocolo=4228774&amp;area=processo</v>
      </c>
      <c r="L385" t="str" cm="1">
        <f t="array" ref="L385">ExtrairHiperlink(E385)</f>
        <v>https://intra.senado.leg.br/sigad/novo/protocolo/impressao.asp?cod_protocolo=4241698&amp;area=documento</v>
      </c>
    </row>
    <row r="386" spans="1:12" ht="60" x14ac:dyDescent="0.25">
      <c r="A386" s="103"/>
      <c r="B386" s="105">
        <v>45652</v>
      </c>
      <c r="C386" s="107" t="s">
        <v>26</v>
      </c>
      <c r="D386" s="100" t="s">
        <v>27</v>
      </c>
      <c r="E386" s="2" t="s">
        <v>28</v>
      </c>
      <c r="F386" s="107" t="s">
        <v>691</v>
      </c>
      <c r="G386" s="135" t="s">
        <v>692</v>
      </c>
      <c r="H386" s="92"/>
      <c r="I386" s="94" t="s">
        <v>665</v>
      </c>
      <c r="J386" s="91" t="str" cm="1">
        <f t="array" ref="J386">NomeDaCor(A386)</f>
        <v>Laranja</v>
      </c>
      <c r="K386" s="450" t="str" cm="1">
        <f t="array" ref="K386">ExtrairHiperlink(D386)</f>
        <v>https://intra.senado.leg.br/sigad/novo/protocolo/impressao.asp?cod_protocolo=4184491&amp;area=processo</v>
      </c>
      <c r="L386" t="str" cm="1">
        <f t="array" ref="L386">ExtrairHiperlink(E386)</f>
        <v>https://intra.senado.leg.br/sigad/novo/protocolo/impressao.asp?area=processo&amp;cod_protocolo=4223434&amp;cod_frente_verso=&amp;cod_juntada=&amp;txt_funcao=</v>
      </c>
    </row>
    <row r="387" spans="1:12" ht="81" x14ac:dyDescent="0.25">
      <c r="A387" s="162"/>
      <c r="B387" s="106"/>
      <c r="C387" s="108"/>
      <c r="D387" s="100"/>
      <c r="E387" s="56" t="s">
        <v>46</v>
      </c>
      <c r="F387" s="109"/>
      <c r="G387" s="163"/>
      <c r="H387" s="153"/>
      <c r="I387" s="165"/>
      <c r="J387" s="91" t="str" cm="1">
        <f t="array" ref="J387">NomeDaCor(A387)</f>
        <v>Laranja</v>
      </c>
      <c r="K387" s="450" t="str" cm="1">
        <f t="array" ref="K387">ExtrairHiperlink(D387)</f>
        <v>https://intra.senado.leg.br/sigad/novo/protocolo/impressao.asp?cod_protocolo=4184491&amp;area=processo</v>
      </c>
      <c r="L387" t="str" cm="1">
        <f t="array" ref="L387">ExtrairHiperlink(E387)</f>
        <v>https://intra.senado.leg.br/sigad/novo/protocolo/impressao.asp?area=processo&amp;cod_protocolo=4223434&amp;cod_frente_verso=&amp;cod_juntada=&amp;txt_funcao=</v>
      </c>
    </row>
    <row r="388" spans="1:12" ht="60" x14ac:dyDescent="0.25">
      <c r="A388" s="162"/>
      <c r="B388" s="105">
        <v>45923</v>
      </c>
      <c r="C388" s="107" t="s">
        <v>417</v>
      </c>
      <c r="D388" s="132" t="s">
        <v>536</v>
      </c>
      <c r="E388" s="17" t="s">
        <v>583</v>
      </c>
      <c r="F388" s="107" t="s">
        <v>693</v>
      </c>
      <c r="G388" s="163"/>
      <c r="H388" s="153"/>
      <c r="I388" s="165"/>
      <c r="J388" s="91" t="str" cm="1">
        <f t="array" ref="J388">NomeDaCor(A388)</f>
        <v>Laranja</v>
      </c>
      <c r="K388" s="450" t="str" cm="1">
        <f t="array" ref="K388">ExtrairHiperlink(D388)</f>
        <v>https://intra.senado.leg.br/sigad/novo/protocolo/impressao.asp?cod_protocolo=4184491&amp;area=processo</v>
      </c>
      <c r="L388" t="str" cm="1">
        <f t="array" ref="L388">ExtrairHiperlink(E388)</f>
        <v>https://intra.senado.leg.br/sigad/novo/protocolo/impressao.asp?area=processo&amp;cod_protocolo=4500061&amp;cod_frente_verso=&amp;cod_juntada=&amp;txt_funcao=</v>
      </c>
    </row>
    <row r="389" spans="1:12" ht="81" x14ac:dyDescent="0.25">
      <c r="A389" s="104"/>
      <c r="B389" s="131"/>
      <c r="C389" s="108"/>
      <c r="D389" s="133"/>
      <c r="E389" s="10" t="s">
        <v>46</v>
      </c>
      <c r="F389" s="108"/>
      <c r="G389" s="164"/>
      <c r="H389" s="93"/>
      <c r="I389" s="95"/>
      <c r="J389" s="91" t="str" cm="1">
        <f t="array" ref="J389">NomeDaCor(A389)</f>
        <v>Laranja</v>
      </c>
      <c r="K389" s="450" t="str" cm="1">
        <f t="array" ref="K389">ExtrairHiperlink(D389)</f>
        <v>https://intra.senado.leg.br/sigad/novo/protocolo/impressao.asp?cod_protocolo=4184491&amp;area=processo</v>
      </c>
      <c r="L389" t="str" cm="1">
        <f t="array" ref="L389">ExtrairHiperlink(E389)</f>
        <v>https://intra.senado.leg.br/sigad/novo/protocolo/impressao.asp?area=processo&amp;cod_protocolo=4500061&amp;cod_frente_verso=&amp;cod_juntada=&amp;txt_funcao=</v>
      </c>
    </row>
    <row r="390" spans="1:12" x14ac:dyDescent="0.25">
      <c r="A390" s="154" t="s">
        <v>18</v>
      </c>
      <c r="B390" s="155">
        <v>45933</v>
      </c>
      <c r="C390" s="156" t="s">
        <v>694</v>
      </c>
      <c r="D390" s="157" t="s">
        <v>695</v>
      </c>
      <c r="E390" s="159" t="s">
        <v>315</v>
      </c>
      <c r="F390" s="161" t="s">
        <v>696</v>
      </c>
      <c r="G390" s="148" t="s">
        <v>697</v>
      </c>
      <c r="H390" s="150"/>
      <c r="I390" s="151" t="s">
        <v>24</v>
      </c>
      <c r="J390" s="91" t="str" cm="1">
        <f t="array" ref="J390">NomeDaCor(A390)</f>
        <v>Preto</v>
      </c>
      <c r="K390" s="450" t="str" cm="1">
        <f t="array" ref="K390">ExtrairHiperlink(D390)</f>
        <v>https://intra.senado.leg.br/sigad/novo/protocolo/impressao.asp?cod_protocolo=4509982&amp;area=processo</v>
      </c>
      <c r="L390" t="str" cm="1">
        <f t="array" ref="L390">ExtrairHiperlink(E390)</f>
        <v>https://intra.senado.leg.br/sigad/novo/protocolo/impressao.asp?area=processo&amp;cod_protocolo=4500061&amp;cod_frente_verso=&amp;cod_juntada=&amp;txt_funcao=</v>
      </c>
    </row>
    <row r="391" spans="1:12" x14ac:dyDescent="0.25">
      <c r="A391" s="115"/>
      <c r="B391" s="117"/>
      <c r="C391" s="119"/>
      <c r="D391" s="158"/>
      <c r="E391" s="160"/>
      <c r="F391" s="119"/>
      <c r="G391" s="149"/>
      <c r="H391" s="121"/>
      <c r="I391" s="152"/>
      <c r="J391" s="91" t="str" cm="1">
        <f t="array" ref="J391">NomeDaCor(A391)</f>
        <v>Preto</v>
      </c>
      <c r="K391" s="450" t="str" cm="1">
        <f t="array" ref="K391">ExtrairHiperlink(D391)</f>
        <v>https://intra.senado.leg.br/sigad/novo/protocolo/impressao.asp?cod_protocolo=4509982&amp;area=processo</v>
      </c>
      <c r="L391" t="str" cm="1">
        <f t="array" ref="L391">ExtrairHiperlink(E391)</f>
        <v>https://intra.senado.leg.br/sigad/novo/protocolo/impressao.asp?area=processo&amp;cod_protocolo=4500061&amp;cod_frente_verso=&amp;cod_juntada=&amp;txt_funcao=</v>
      </c>
    </row>
    <row r="392" spans="1:12" ht="60" x14ac:dyDescent="0.25">
      <c r="A392" s="138"/>
      <c r="B392" s="105">
        <v>45693</v>
      </c>
      <c r="C392" s="107" t="s">
        <v>63</v>
      </c>
      <c r="D392" s="132" t="s">
        <v>38</v>
      </c>
      <c r="E392" s="2" t="s">
        <v>39</v>
      </c>
      <c r="F392" s="107" t="s">
        <v>698</v>
      </c>
      <c r="G392" s="147" t="s">
        <v>699</v>
      </c>
      <c r="H392" s="92"/>
      <c r="I392" s="94" t="s">
        <v>665</v>
      </c>
      <c r="J392" s="91" t="str" cm="1">
        <f t="array" ref="J392">NomeDaCor(A392)</f>
        <v>Roxo</v>
      </c>
      <c r="K392" s="450" t="str" cm="1">
        <f t="array" ref="K392">ExtrairHiperlink(D392)</f>
        <v>https://intra.senado.leg.br/sigad/novo/protocolo/impressao.asp?cod_protocolo=4227195</v>
      </c>
      <c r="L392" t="str" cm="1">
        <f t="array" ref="L392">ExtrairHiperlink(E392)</f>
        <v>https://intra.senado.leg.br/sigad/novo/protocolo/impressao.asp?area=processo&amp;cod_protocolo=4236444&amp;cod_frente_verso=&amp;cod_juntada=&amp;txt_funcao=</v>
      </c>
    </row>
    <row r="393" spans="1:12" ht="81" x14ac:dyDescent="0.25">
      <c r="A393" s="139"/>
      <c r="B393" s="131"/>
      <c r="C393" s="142"/>
      <c r="D393" s="133"/>
      <c r="E393" s="10" t="s">
        <v>46</v>
      </c>
      <c r="F393" s="134"/>
      <c r="G393" s="143"/>
      <c r="H393" s="153"/>
      <c r="I393" s="95"/>
      <c r="J393" s="91" t="str" cm="1">
        <f t="array" ref="J393">NomeDaCor(A393)</f>
        <v>Roxo</v>
      </c>
      <c r="K393" s="450" t="str" cm="1">
        <f t="array" ref="K393">ExtrairHiperlink(D393)</f>
        <v>https://intra.senado.leg.br/sigad/novo/protocolo/impressao.asp?cod_protocolo=4227195</v>
      </c>
      <c r="L393" t="str" cm="1">
        <f t="array" ref="L393">ExtrairHiperlink(E393)</f>
        <v>https://intra.senado.leg.br/sigad/novo/protocolo/impressao.asp?area=processo&amp;cod_protocolo=4236444&amp;cod_frente_verso=&amp;cod_juntada=&amp;txt_funcao=</v>
      </c>
    </row>
    <row r="394" spans="1:12" ht="60" x14ac:dyDescent="0.25">
      <c r="A394" s="83"/>
      <c r="B394" s="105">
        <v>45923</v>
      </c>
      <c r="C394" s="107" t="s">
        <v>417</v>
      </c>
      <c r="D394" s="132" t="s">
        <v>536</v>
      </c>
      <c r="E394" s="17" t="s">
        <v>583</v>
      </c>
      <c r="F394" s="107" t="s">
        <v>700</v>
      </c>
      <c r="G394" s="135" t="s">
        <v>701</v>
      </c>
      <c r="H394" s="92"/>
      <c r="I394" s="94" t="s">
        <v>665</v>
      </c>
      <c r="J394" s="91" t="str" cm="1">
        <f t="array" ref="J394">NomeDaCor(A394)</f>
        <v>Rosa</v>
      </c>
      <c r="K394" s="450" t="str" cm="1">
        <f t="array" ref="K394">ExtrairHiperlink(D394)</f>
        <v>https://intra.senado.leg.br/sigad/novo/protocolo/impressao.asp?cod_protocolo=4498200&amp;area=processo</v>
      </c>
      <c r="L394" t="str" cm="1">
        <f t="array" ref="L394">ExtrairHiperlink(E394)</f>
        <v>https://intra.senado.leg.br/sigad/novo/protocolo/impressao.asp?area=processo&amp;cod_protocolo=4500061&amp;cod_frente_verso=&amp;cod_juntada=&amp;txt_funcao=</v>
      </c>
    </row>
    <row r="395" spans="1:12" ht="81" x14ac:dyDescent="0.25">
      <c r="A395" s="83"/>
      <c r="B395" s="131"/>
      <c r="C395" s="108"/>
      <c r="D395" s="133"/>
      <c r="E395" s="10" t="s">
        <v>46</v>
      </c>
      <c r="F395" s="134"/>
      <c r="G395" s="111"/>
      <c r="H395" s="93"/>
      <c r="I395" s="95"/>
      <c r="J395" s="91" t="str" cm="1">
        <f t="array" ref="J395">NomeDaCor(A395)</f>
        <v>Rosa</v>
      </c>
      <c r="K395" s="450" t="str" cm="1">
        <f t="array" ref="K395">ExtrairHiperlink(D395)</f>
        <v>https://intra.senado.leg.br/sigad/novo/protocolo/impressao.asp?cod_protocolo=4498200&amp;area=processo</v>
      </c>
      <c r="L395" t="str" cm="1">
        <f t="array" ref="L395">ExtrairHiperlink(E395)</f>
        <v>https://intra.senado.leg.br/sigad/novo/protocolo/impressao.asp?area=processo&amp;cod_protocolo=4500061&amp;cod_frente_verso=&amp;cod_juntada=&amp;txt_funcao=</v>
      </c>
    </row>
    <row r="396" spans="1:12" ht="60" x14ac:dyDescent="0.25">
      <c r="A396" s="144"/>
      <c r="B396" s="105">
        <v>45728</v>
      </c>
      <c r="C396" s="145" t="s">
        <v>114</v>
      </c>
      <c r="D396" s="132" t="s">
        <v>115</v>
      </c>
      <c r="E396" s="2" t="s">
        <v>116</v>
      </c>
      <c r="F396" s="107" t="s">
        <v>702</v>
      </c>
      <c r="G396" s="147" t="s">
        <v>703</v>
      </c>
      <c r="H396" s="92"/>
      <c r="I396" s="94" t="s">
        <v>665</v>
      </c>
      <c r="J396" s="91" t="str" cm="1">
        <f t="array" ref="J396">NomeDaCor(A396)</f>
        <v>Vermelho</v>
      </c>
      <c r="K396" s="450" t="str" cm="1">
        <f t="array" ref="K396">ExtrairHiperlink(D396)</f>
        <v>https://intra.senado.leg.br/sigad/novo/protocolo/impressao.asp?cod_protocolo=4269985&amp;area=processo</v>
      </c>
      <c r="L396" t="str" cm="1">
        <f t="array" ref="L396">ExtrairHiperlink(E396)</f>
        <v>https://intra.senado.leg.br/sigad/novo/protocolo/impressao.asp?area=processo&amp;cod_protocolo=4269913&amp;cod_frente_verso=&amp;cod_juntada=&amp;txt_funcao=</v>
      </c>
    </row>
    <row r="397" spans="1:12" ht="81" x14ac:dyDescent="0.25">
      <c r="A397" s="144"/>
      <c r="B397" s="106"/>
      <c r="C397" s="109"/>
      <c r="D397" s="146"/>
      <c r="E397" s="10" t="s">
        <v>46</v>
      </c>
      <c r="F397" s="109"/>
      <c r="G397" s="111"/>
      <c r="H397" s="93"/>
      <c r="I397" s="95"/>
      <c r="J397" s="91" t="str" cm="1">
        <f t="array" ref="J397">NomeDaCor(A397)</f>
        <v>Vermelho</v>
      </c>
      <c r="K397" s="450" t="str" cm="1">
        <f t="array" ref="K397">ExtrairHiperlink(D397)</f>
        <v>https://intra.senado.leg.br/sigad/novo/protocolo/impressao.asp?cod_protocolo=4269985&amp;area=processo</v>
      </c>
      <c r="L397" t="str" cm="1">
        <f t="array" ref="L397">ExtrairHiperlink(E397)</f>
        <v>https://intra.senado.leg.br/sigad/novo/protocolo/impressao.asp?area=processo&amp;cod_protocolo=4269913&amp;cod_frente_verso=&amp;cod_juntada=&amp;txt_funcao=</v>
      </c>
    </row>
    <row r="398" spans="1:12" ht="60" x14ac:dyDescent="0.25">
      <c r="A398" s="140"/>
      <c r="B398" s="105">
        <v>45693</v>
      </c>
      <c r="C398" s="107" t="s">
        <v>63</v>
      </c>
      <c r="D398" s="132" t="s">
        <v>38</v>
      </c>
      <c r="E398" s="2" t="s">
        <v>39</v>
      </c>
      <c r="F398" s="107" t="s">
        <v>704</v>
      </c>
      <c r="G398" s="135">
        <v>45993</v>
      </c>
      <c r="H398" s="92"/>
      <c r="I398" s="94" t="s">
        <v>665</v>
      </c>
      <c r="J398" s="91" t="str" cm="1">
        <f t="array" ref="J398">NomeDaCor(A398)</f>
        <v>Verde</v>
      </c>
      <c r="K398" s="450" t="str" cm="1">
        <f t="array" ref="K398">ExtrairHiperlink(D398)</f>
        <v>https://intra.senado.leg.br/sigad/novo/protocolo/impressao.asp?cod_protocolo=4227195</v>
      </c>
      <c r="L398" t="str" cm="1">
        <f t="array" ref="L398">ExtrairHiperlink(E398)</f>
        <v>https://intra.senado.leg.br/sigad/novo/protocolo/impressao.asp?area=processo&amp;cod_protocolo=4236444&amp;cod_frente_verso=&amp;cod_juntada=&amp;txt_funcao=</v>
      </c>
    </row>
    <row r="399" spans="1:12" ht="81" x14ac:dyDescent="0.25">
      <c r="A399" s="141"/>
      <c r="B399" s="131"/>
      <c r="C399" s="142"/>
      <c r="D399" s="133"/>
      <c r="E399" s="10" t="s">
        <v>46</v>
      </c>
      <c r="F399" s="134"/>
      <c r="G399" s="143"/>
      <c r="H399" s="93"/>
      <c r="I399" s="95"/>
      <c r="J399" s="91" t="str" cm="1">
        <f t="array" ref="J399">NomeDaCor(A399)</f>
        <v>Verde</v>
      </c>
      <c r="K399" s="450" t="str" cm="1">
        <f t="array" ref="K399">ExtrairHiperlink(D399)</f>
        <v>https://intra.senado.leg.br/sigad/novo/protocolo/impressao.asp?cod_protocolo=4227195</v>
      </c>
      <c r="L399" t="str" cm="1">
        <f t="array" ref="L399">ExtrairHiperlink(E399)</f>
        <v>https://intra.senado.leg.br/sigad/novo/protocolo/impressao.asp?area=processo&amp;cod_protocolo=4236444&amp;cod_frente_verso=&amp;cod_juntada=&amp;txt_funcao=</v>
      </c>
    </row>
    <row r="400" spans="1:12" ht="60" x14ac:dyDescent="0.25">
      <c r="A400" s="138"/>
      <c r="B400" s="105">
        <v>45652</v>
      </c>
      <c r="C400" s="107" t="s">
        <v>26</v>
      </c>
      <c r="D400" s="100" t="s">
        <v>27</v>
      </c>
      <c r="E400" s="2" t="s">
        <v>28</v>
      </c>
      <c r="F400" s="107" t="s">
        <v>705</v>
      </c>
      <c r="G400" s="135" t="s">
        <v>706</v>
      </c>
      <c r="H400" s="92"/>
      <c r="I400" s="94" t="s">
        <v>665</v>
      </c>
      <c r="J400" s="91" t="str" cm="1">
        <f t="array" ref="J400">NomeDaCor(A400)</f>
        <v>Roxo</v>
      </c>
      <c r="K400" s="450" t="str" cm="1">
        <f t="array" ref="K400">ExtrairHiperlink(D400)</f>
        <v>https://intra.senado.leg.br/sigad/novo/protocolo/impressao.asp?cod_protocolo=4184491&amp;area=processo</v>
      </c>
      <c r="L400" t="str" cm="1">
        <f t="array" ref="L400">ExtrairHiperlink(E400)</f>
        <v>https://intra.senado.leg.br/sigad/novo/protocolo/impressao.asp?area=processo&amp;cod_protocolo=4223434&amp;cod_frente_verso=&amp;cod_juntada=&amp;txt_funcao=</v>
      </c>
    </row>
    <row r="401" spans="1:12" ht="81" x14ac:dyDescent="0.25">
      <c r="A401" s="139"/>
      <c r="B401" s="106"/>
      <c r="C401" s="108"/>
      <c r="D401" s="100"/>
      <c r="E401" s="56" t="s">
        <v>46</v>
      </c>
      <c r="F401" s="109"/>
      <c r="G401" s="111"/>
      <c r="H401" s="93"/>
      <c r="I401" s="95"/>
      <c r="J401" s="91" t="str" cm="1">
        <f t="array" ref="J401">NomeDaCor(A401)</f>
        <v>Roxo</v>
      </c>
      <c r="K401" s="450" t="str" cm="1">
        <f t="array" ref="K401">ExtrairHiperlink(D401)</f>
        <v>https://intra.senado.leg.br/sigad/novo/protocolo/impressao.asp?cod_protocolo=4184491&amp;area=processo</v>
      </c>
      <c r="L401" t="str" cm="1">
        <f t="array" ref="L401">ExtrairHiperlink(E401)</f>
        <v>https://intra.senado.leg.br/sigad/novo/protocolo/impressao.asp?area=processo&amp;cod_protocolo=4223434&amp;cod_frente_verso=&amp;cod_juntada=&amp;txt_funcao=</v>
      </c>
    </row>
    <row r="402" spans="1:12" ht="60" x14ac:dyDescent="0.25">
      <c r="A402" s="136"/>
      <c r="B402" s="105">
        <v>45923</v>
      </c>
      <c r="C402" s="107" t="s">
        <v>417</v>
      </c>
      <c r="D402" s="132" t="s">
        <v>536</v>
      </c>
      <c r="E402" s="17" t="s">
        <v>583</v>
      </c>
      <c r="F402" s="107" t="s">
        <v>707</v>
      </c>
      <c r="G402" s="135" t="s">
        <v>708</v>
      </c>
      <c r="H402" s="92"/>
      <c r="I402" s="94" t="s">
        <v>665</v>
      </c>
      <c r="J402" s="91" t="str" cm="1">
        <f t="array" ref="J402">NomeDaCor(A402)</f>
        <v>Azul</v>
      </c>
      <c r="K402" s="450" t="str" cm="1">
        <f t="array" ref="K402">ExtrairHiperlink(D402)</f>
        <v>https://intra.senado.leg.br/sigad/novo/protocolo/impressao.asp?cod_protocolo=4184491&amp;area=processo</v>
      </c>
      <c r="L402" t="str" cm="1">
        <f t="array" ref="L402">ExtrairHiperlink(E402)</f>
        <v>https://intra.senado.leg.br/sigad/novo/protocolo/impressao.asp?area=processo&amp;cod_protocolo=4500061&amp;cod_frente_verso=&amp;cod_juntada=&amp;txt_funcao=</v>
      </c>
    </row>
    <row r="403" spans="1:12" ht="81" x14ac:dyDescent="0.25">
      <c r="A403" s="137"/>
      <c r="B403" s="131"/>
      <c r="C403" s="108"/>
      <c r="D403" s="133"/>
      <c r="E403" s="10" t="s">
        <v>46</v>
      </c>
      <c r="F403" s="134"/>
      <c r="G403" s="111"/>
      <c r="H403" s="93"/>
      <c r="I403" s="95"/>
      <c r="J403" s="91" t="str" cm="1">
        <f t="array" ref="J403">NomeDaCor(A403)</f>
        <v>Azul</v>
      </c>
      <c r="K403" s="450" t="str" cm="1">
        <f t="array" ref="K403">ExtrairHiperlink(D403)</f>
        <v>https://intra.senado.leg.br/sigad/novo/protocolo/impressao.asp?cod_protocolo=4184491&amp;area=processo</v>
      </c>
      <c r="L403" t="str" cm="1">
        <f t="array" ref="L403">ExtrairHiperlink(E403)</f>
        <v>https://intra.senado.leg.br/sigad/novo/protocolo/impressao.asp?area=processo&amp;cod_protocolo=4500061&amp;cod_frente_verso=&amp;cod_juntada=&amp;txt_funcao=</v>
      </c>
    </row>
    <row r="404" spans="1:12" ht="60" x14ac:dyDescent="0.25">
      <c r="A404" s="92"/>
      <c r="B404" s="105">
        <v>45923</v>
      </c>
      <c r="C404" s="107" t="s">
        <v>417</v>
      </c>
      <c r="D404" s="132" t="s">
        <v>536</v>
      </c>
      <c r="E404" s="17" t="s">
        <v>583</v>
      </c>
      <c r="F404" s="107" t="s">
        <v>709</v>
      </c>
      <c r="G404" s="135" t="s">
        <v>710</v>
      </c>
      <c r="H404" s="4"/>
      <c r="I404" s="112" t="s">
        <v>582</v>
      </c>
      <c r="J404" s="91" t="str" cm="1">
        <f t="array" ref="J404">NomeDaCor(A404)</f>
        <v>Branco</v>
      </c>
      <c r="K404" s="450" t="str" cm="1">
        <f t="array" ref="K404">ExtrairHiperlink(D404)</f>
        <v>https://intra.senado.leg.br/sigad/novo/protocolo/impressao.asp?cod_protocolo=4184491&amp;area=processo</v>
      </c>
      <c r="L404" t="str" cm="1">
        <f t="array" ref="L404">ExtrairHiperlink(E404)</f>
        <v>https://intra.senado.leg.br/sigad/novo/protocolo/impressao.asp?area=processo&amp;cod_protocolo=4500061&amp;cod_frente_verso=&amp;cod_juntada=&amp;txt_funcao=</v>
      </c>
    </row>
    <row r="405" spans="1:12" ht="81" x14ac:dyDescent="0.25">
      <c r="A405" s="93"/>
      <c r="B405" s="131"/>
      <c r="C405" s="108"/>
      <c r="D405" s="133"/>
      <c r="E405" s="10" t="s">
        <v>46</v>
      </c>
      <c r="F405" s="134"/>
      <c r="G405" s="111"/>
      <c r="H405" s="4"/>
      <c r="I405" s="113"/>
      <c r="J405" s="91" t="str" cm="1">
        <f t="array" ref="J405">NomeDaCor(A405)</f>
        <v>Branco</v>
      </c>
      <c r="K405" s="450" t="str" cm="1">
        <f t="array" ref="K405">ExtrairHiperlink(D405)</f>
        <v>https://intra.senado.leg.br/sigad/novo/protocolo/impressao.asp?cod_protocolo=4184491&amp;area=processo</v>
      </c>
      <c r="L405" t="str" cm="1">
        <f t="array" ref="L405">ExtrairHiperlink(E405)</f>
        <v>https://intra.senado.leg.br/sigad/novo/protocolo/impressao.asp?area=processo&amp;cod_protocolo=4500061&amp;cod_frente_verso=&amp;cod_juntada=&amp;txt_funcao=</v>
      </c>
    </row>
    <row r="406" spans="1:12" x14ac:dyDescent="0.25">
      <c r="A406" s="114" t="s">
        <v>18</v>
      </c>
      <c r="B406" s="116"/>
      <c r="C406" s="118" t="s">
        <v>711</v>
      </c>
      <c r="D406" s="120"/>
      <c r="E406" s="122"/>
      <c r="F406" s="124" t="s">
        <v>712</v>
      </c>
      <c r="G406" s="126" t="s">
        <v>713</v>
      </c>
      <c r="H406" s="128"/>
      <c r="I406" s="129" t="s">
        <v>24</v>
      </c>
      <c r="J406" s="91" t="str" cm="1">
        <f t="array" ref="J406">NomeDaCor(A406)</f>
        <v>Preto</v>
      </c>
      <c r="K406" s="450" t="str" cm="1">
        <f t="array" ref="K406">ExtrairHiperlink(D406)</f>
        <v>https://intra.senado.leg.br/sigad/novo/protocolo/impressao.asp?cod_protocolo=4184491&amp;area=processo</v>
      </c>
      <c r="L406" t="str" cm="1">
        <f t="array" ref="L406">ExtrairHiperlink(E406)</f>
        <v>https://intra.senado.leg.br/sigad/novo/protocolo/impressao.asp?area=processo&amp;cod_protocolo=4500061&amp;cod_frente_verso=&amp;cod_juntada=&amp;txt_funcao=</v>
      </c>
    </row>
    <row r="407" spans="1:12" x14ac:dyDescent="0.25">
      <c r="A407" s="115"/>
      <c r="B407" s="117"/>
      <c r="C407" s="119"/>
      <c r="D407" s="121"/>
      <c r="E407" s="123"/>
      <c r="F407" s="125"/>
      <c r="G407" s="127"/>
      <c r="H407" s="128"/>
      <c r="I407" s="130"/>
      <c r="J407" s="91" t="str" cm="1">
        <f t="array" ref="J407">NomeDaCor(A407)</f>
        <v>Preto</v>
      </c>
      <c r="K407" s="450" t="str" cm="1">
        <f t="array" ref="K407">ExtrairHiperlink(D407)</f>
        <v>https://intra.senado.leg.br/sigad/novo/protocolo/impressao.asp?cod_protocolo=4184491&amp;area=processo</v>
      </c>
      <c r="L407" t="str" cm="1">
        <f t="array" ref="L407">ExtrairHiperlink(E407)</f>
        <v>https://intra.senado.leg.br/sigad/novo/protocolo/impressao.asp?area=processo&amp;cod_protocolo=4500061&amp;cod_frente_verso=&amp;cod_juntada=&amp;txt_funcao=</v>
      </c>
    </row>
    <row r="408" spans="1:12" ht="60" x14ac:dyDescent="0.25">
      <c r="A408" s="103"/>
      <c r="B408" s="105">
        <v>45652</v>
      </c>
      <c r="C408" s="107" t="s">
        <v>26</v>
      </c>
      <c r="D408" s="100" t="s">
        <v>27</v>
      </c>
      <c r="E408" s="2" t="s">
        <v>28</v>
      </c>
      <c r="F408" s="107" t="s">
        <v>714</v>
      </c>
      <c r="G408" s="110">
        <v>46001</v>
      </c>
      <c r="H408" s="92"/>
      <c r="I408" s="94" t="s">
        <v>665</v>
      </c>
      <c r="J408" s="91" t="str" cm="1">
        <f t="array" ref="J408">NomeDaCor(A408)</f>
        <v>Laranja</v>
      </c>
      <c r="K408" s="450" t="str" cm="1">
        <f t="array" ref="K408">ExtrairHiperlink(D408)</f>
        <v>https://intra.senado.leg.br/sigad/novo/protocolo/impressao.asp?cod_protocolo=4184491&amp;area=processo</v>
      </c>
      <c r="L408" t="str" cm="1">
        <f t="array" ref="L408">ExtrairHiperlink(E408)</f>
        <v>https://intra.senado.leg.br/sigad/novo/protocolo/impressao.asp?area=processo&amp;cod_protocolo=4223434&amp;cod_frente_verso=&amp;cod_juntada=&amp;txt_funcao=</v>
      </c>
    </row>
    <row r="409" spans="1:12" ht="81" x14ac:dyDescent="0.25">
      <c r="A409" s="104"/>
      <c r="B409" s="106"/>
      <c r="C409" s="108"/>
      <c r="D409" s="100"/>
      <c r="E409" s="56" t="s">
        <v>46</v>
      </c>
      <c r="F409" s="109"/>
      <c r="G409" s="111"/>
      <c r="H409" s="93"/>
      <c r="I409" s="95"/>
      <c r="J409" s="91" t="str" cm="1">
        <f t="array" ref="J409">NomeDaCor(A409)</f>
        <v>Laranja</v>
      </c>
      <c r="K409" s="450" t="str" cm="1">
        <f t="array" ref="K409">ExtrairHiperlink(D409)</f>
        <v>https://intra.senado.leg.br/sigad/novo/protocolo/impressao.asp?cod_protocolo=4184491&amp;area=processo</v>
      </c>
      <c r="L409" t="str" cm="1">
        <f t="array" ref="L409">ExtrairHiperlink(E409)</f>
        <v>https://intra.senado.leg.br/sigad/novo/protocolo/impressao.asp?area=processo&amp;cod_protocolo=4223434&amp;cod_frente_verso=&amp;cod_juntada=&amp;txt_funcao=</v>
      </c>
    </row>
    <row r="410" spans="1:12" ht="60" x14ac:dyDescent="0.25">
      <c r="A410" s="96"/>
      <c r="B410" s="97">
        <v>45923</v>
      </c>
      <c r="C410" s="98" t="s">
        <v>417</v>
      </c>
      <c r="D410" s="100" t="s">
        <v>536</v>
      </c>
      <c r="E410" s="17" t="s">
        <v>583</v>
      </c>
      <c r="F410" s="98" t="s">
        <v>715</v>
      </c>
      <c r="G410" s="101" t="s">
        <v>716</v>
      </c>
      <c r="H410" s="92"/>
      <c r="I410" s="94" t="s">
        <v>665</v>
      </c>
      <c r="J410" s="91" t="str" cm="1">
        <f t="array" ref="J410">NomeDaCor(A410)</f>
        <v>Azul</v>
      </c>
      <c r="K410" s="450" t="str" cm="1">
        <f t="array" ref="K410">ExtrairHiperlink(D410)</f>
        <v>https://intra.senado.leg.br/sigad/novo/protocolo/impressao.asp?cod_protocolo=4184491&amp;area=processo</v>
      </c>
      <c r="L410" t="str" cm="1">
        <f t="array" ref="L410">ExtrairHiperlink(E410)</f>
        <v>https://intra.senado.leg.br/sigad/novo/protocolo/impressao.asp?area=processo&amp;cod_protocolo=4500061&amp;cod_frente_verso=&amp;cod_juntada=&amp;txt_funcao=</v>
      </c>
    </row>
    <row r="411" spans="1:12" ht="81" x14ac:dyDescent="0.25">
      <c r="A411" s="96"/>
      <c r="B411" s="97"/>
      <c r="C411" s="99"/>
      <c r="D411" s="100"/>
      <c r="E411" s="10" t="s">
        <v>46</v>
      </c>
      <c r="F411" s="99"/>
      <c r="G411" s="102"/>
      <c r="H411" s="93"/>
      <c r="I411" s="95"/>
      <c r="J411" s="91" t="str" cm="1">
        <f t="array" ref="J411">NomeDaCor(A411)</f>
        <v>Azul</v>
      </c>
      <c r="K411" s="450" t="str" cm="1">
        <f t="array" ref="K411">ExtrairHiperlink(D411)</f>
        <v>https://intra.senado.leg.br/sigad/novo/protocolo/impressao.asp?cod_protocolo=4184491&amp;area=processo</v>
      </c>
      <c r="L411" t="str" cm="1">
        <f t="array" ref="L411">ExtrairHiperlink(E411)</f>
        <v>https://intra.senado.leg.br/sigad/novo/protocolo/impressao.asp?area=processo&amp;cod_protocolo=4500061&amp;cod_frente_verso=&amp;cod_juntada=&amp;txt_funcao=</v>
      </c>
    </row>
  </sheetData>
  <mergeCells count="1375">
    <mergeCell ref="G2:G5"/>
    <mergeCell ref="H2:H5"/>
    <mergeCell ref="I2:I5"/>
    <mergeCell ref="B4:B5"/>
    <mergeCell ref="C4:C5"/>
    <mergeCell ref="D4:D5"/>
    <mergeCell ref="E4:E5"/>
    <mergeCell ref="A2:A5"/>
    <mergeCell ref="B2:B3"/>
    <mergeCell ref="C2:C3"/>
    <mergeCell ref="D2:D3"/>
    <mergeCell ref="E2:E3"/>
    <mergeCell ref="F2:F5"/>
    <mergeCell ref="H10:H11"/>
    <mergeCell ref="I10:I11"/>
    <mergeCell ref="A12:A15"/>
    <mergeCell ref="B12:B13"/>
    <mergeCell ref="C12:C13"/>
    <mergeCell ref="D12:D13"/>
    <mergeCell ref="F12:F13"/>
    <mergeCell ref="G12:G13"/>
    <mergeCell ref="H12:H15"/>
    <mergeCell ref="I12:I15"/>
    <mergeCell ref="A10:A11"/>
    <mergeCell ref="B10:B11"/>
    <mergeCell ref="C10:C11"/>
    <mergeCell ref="D10:D11"/>
    <mergeCell ref="F10:F11"/>
    <mergeCell ref="G10:G11"/>
    <mergeCell ref="H6:H7"/>
    <mergeCell ref="I6:I7"/>
    <mergeCell ref="A8:A9"/>
    <mergeCell ref="B8:B9"/>
    <mergeCell ref="C8:C9"/>
    <mergeCell ref="D8:D9"/>
    <mergeCell ref="F8:F9"/>
    <mergeCell ref="G8:G9"/>
    <mergeCell ref="H8:H9"/>
    <mergeCell ref="I8:I9"/>
    <mergeCell ref="A6:A7"/>
    <mergeCell ref="B6:B7"/>
    <mergeCell ref="C6:C7"/>
    <mergeCell ref="D6:D7"/>
    <mergeCell ref="F6:F7"/>
    <mergeCell ref="G6:G7"/>
    <mergeCell ref="H16:H17"/>
    <mergeCell ref="I16:I17"/>
    <mergeCell ref="B18:B19"/>
    <mergeCell ref="C18:C19"/>
    <mergeCell ref="D18:D19"/>
    <mergeCell ref="F18:F23"/>
    <mergeCell ref="G18:G23"/>
    <mergeCell ref="H18:H23"/>
    <mergeCell ref="I18:I23"/>
    <mergeCell ref="B20:B21"/>
    <mergeCell ref="B14:B15"/>
    <mergeCell ref="C14:C15"/>
    <mergeCell ref="D14:D15"/>
    <mergeCell ref="F14:F15"/>
    <mergeCell ref="G14:G15"/>
    <mergeCell ref="B16:B17"/>
    <mergeCell ref="C16:C17"/>
    <mergeCell ref="D16:D17"/>
    <mergeCell ref="F16:F17"/>
    <mergeCell ref="G16:G17"/>
    <mergeCell ref="F24:F25"/>
    <mergeCell ref="G24:G27"/>
    <mergeCell ref="H24:H27"/>
    <mergeCell ref="I24:I27"/>
    <mergeCell ref="B26:B27"/>
    <mergeCell ref="C26:C27"/>
    <mergeCell ref="D26:D27"/>
    <mergeCell ref="E26:E27"/>
    <mergeCell ref="F26:F27"/>
    <mergeCell ref="C20:C21"/>
    <mergeCell ref="D20:D21"/>
    <mergeCell ref="B22:B23"/>
    <mergeCell ref="C22:C23"/>
    <mergeCell ref="D22:D23"/>
    <mergeCell ref="A24:A27"/>
    <mergeCell ref="B24:B25"/>
    <mergeCell ref="C24:C25"/>
    <mergeCell ref="D24:D25"/>
    <mergeCell ref="H32:H33"/>
    <mergeCell ref="I32:I33"/>
    <mergeCell ref="A34:A35"/>
    <mergeCell ref="B34:B35"/>
    <mergeCell ref="C34:C35"/>
    <mergeCell ref="D34:D35"/>
    <mergeCell ref="F34:F35"/>
    <mergeCell ref="G34:G35"/>
    <mergeCell ref="H34:H35"/>
    <mergeCell ref="I34:I35"/>
    <mergeCell ref="A32:A33"/>
    <mergeCell ref="B32:B33"/>
    <mergeCell ref="C32:C33"/>
    <mergeCell ref="D32:D33"/>
    <mergeCell ref="F32:F33"/>
    <mergeCell ref="G32:G33"/>
    <mergeCell ref="H28:H29"/>
    <mergeCell ref="I28:I29"/>
    <mergeCell ref="B30:B31"/>
    <mergeCell ref="C30:C31"/>
    <mergeCell ref="D30:D31"/>
    <mergeCell ref="F30:F31"/>
    <mergeCell ref="G30:G31"/>
    <mergeCell ref="H30:H31"/>
    <mergeCell ref="I30:I31"/>
    <mergeCell ref="A28:A29"/>
    <mergeCell ref="B28:B29"/>
    <mergeCell ref="C28:C29"/>
    <mergeCell ref="D28:D29"/>
    <mergeCell ref="F28:F29"/>
    <mergeCell ref="G28:G29"/>
    <mergeCell ref="I38:I43"/>
    <mergeCell ref="B40:B41"/>
    <mergeCell ref="C40:C41"/>
    <mergeCell ref="D40:D41"/>
    <mergeCell ref="B42:B43"/>
    <mergeCell ref="C42:C43"/>
    <mergeCell ref="D42:D43"/>
    <mergeCell ref="H36:H37"/>
    <mergeCell ref="B38:B39"/>
    <mergeCell ref="C38:C39"/>
    <mergeCell ref="D38:D39"/>
    <mergeCell ref="F38:F43"/>
    <mergeCell ref="G38:G43"/>
    <mergeCell ref="H38:H43"/>
    <mergeCell ref="A36:A37"/>
    <mergeCell ref="B36:B37"/>
    <mergeCell ref="C36:C37"/>
    <mergeCell ref="D36:D37"/>
    <mergeCell ref="F36:F37"/>
    <mergeCell ref="G36:G37"/>
    <mergeCell ref="H48:H49"/>
    <mergeCell ref="I48:I49"/>
    <mergeCell ref="A50:A51"/>
    <mergeCell ref="B50:B51"/>
    <mergeCell ref="C50:C51"/>
    <mergeCell ref="D50:D51"/>
    <mergeCell ref="F50:F51"/>
    <mergeCell ref="G50:G51"/>
    <mergeCell ref="H50:H51"/>
    <mergeCell ref="I50:I51"/>
    <mergeCell ref="A48:A49"/>
    <mergeCell ref="B48:B49"/>
    <mergeCell ref="C48:C49"/>
    <mergeCell ref="D48:D49"/>
    <mergeCell ref="F48:F49"/>
    <mergeCell ref="G48:G49"/>
    <mergeCell ref="H44:H45"/>
    <mergeCell ref="I44:I45"/>
    <mergeCell ref="A46:A47"/>
    <mergeCell ref="B46:B47"/>
    <mergeCell ref="C46:C47"/>
    <mergeCell ref="D46:D47"/>
    <mergeCell ref="F46:F47"/>
    <mergeCell ref="G46:G47"/>
    <mergeCell ref="H46:H47"/>
    <mergeCell ref="I46:I47"/>
    <mergeCell ref="A44:A45"/>
    <mergeCell ref="B44:B45"/>
    <mergeCell ref="C44:C45"/>
    <mergeCell ref="D44:D45"/>
    <mergeCell ref="F44:F45"/>
    <mergeCell ref="G44:G45"/>
    <mergeCell ref="I54:I55"/>
    <mergeCell ref="A56:A57"/>
    <mergeCell ref="B56:B57"/>
    <mergeCell ref="C56:C57"/>
    <mergeCell ref="D56:D57"/>
    <mergeCell ref="F56:F57"/>
    <mergeCell ref="G56:G57"/>
    <mergeCell ref="H56:H57"/>
    <mergeCell ref="I56:I57"/>
    <mergeCell ref="H52:H53"/>
    <mergeCell ref="A54:A55"/>
    <mergeCell ref="B54:B55"/>
    <mergeCell ref="C54:C55"/>
    <mergeCell ref="D54:D55"/>
    <mergeCell ref="F54:F55"/>
    <mergeCell ref="G54:G55"/>
    <mergeCell ref="H54:H55"/>
    <mergeCell ref="A52:A53"/>
    <mergeCell ref="B52:B53"/>
    <mergeCell ref="C52:C53"/>
    <mergeCell ref="D52:D53"/>
    <mergeCell ref="F52:F53"/>
    <mergeCell ref="G52:G53"/>
    <mergeCell ref="I60:I61"/>
    <mergeCell ref="A62:A63"/>
    <mergeCell ref="B62:B63"/>
    <mergeCell ref="C62:C63"/>
    <mergeCell ref="D62:D63"/>
    <mergeCell ref="F62:F63"/>
    <mergeCell ref="G62:G63"/>
    <mergeCell ref="H62:H63"/>
    <mergeCell ref="I62:I63"/>
    <mergeCell ref="H58:H59"/>
    <mergeCell ref="I58:I59"/>
    <mergeCell ref="A60:A61"/>
    <mergeCell ref="B60:B61"/>
    <mergeCell ref="C60:C61"/>
    <mergeCell ref="D60:D61"/>
    <mergeCell ref="E60:E61"/>
    <mergeCell ref="F60:F61"/>
    <mergeCell ref="G60:G61"/>
    <mergeCell ref="H60:H61"/>
    <mergeCell ref="A58:A59"/>
    <mergeCell ref="B58:B59"/>
    <mergeCell ref="C58:C59"/>
    <mergeCell ref="D58:D59"/>
    <mergeCell ref="F58:F59"/>
    <mergeCell ref="G58:G59"/>
    <mergeCell ref="H68:H71"/>
    <mergeCell ref="I68:I71"/>
    <mergeCell ref="B70:B71"/>
    <mergeCell ref="C70:C71"/>
    <mergeCell ref="D70:D71"/>
    <mergeCell ref="F70:F71"/>
    <mergeCell ref="A68:A71"/>
    <mergeCell ref="B68:B69"/>
    <mergeCell ref="C68:C69"/>
    <mergeCell ref="D68:D69"/>
    <mergeCell ref="F68:F69"/>
    <mergeCell ref="G68:G71"/>
    <mergeCell ref="H64:H65"/>
    <mergeCell ref="I64:I65"/>
    <mergeCell ref="A66:A67"/>
    <mergeCell ref="B66:B67"/>
    <mergeCell ref="C66:C67"/>
    <mergeCell ref="D66:D67"/>
    <mergeCell ref="F66:F67"/>
    <mergeCell ref="G66:G67"/>
    <mergeCell ref="H66:H67"/>
    <mergeCell ref="I66:I67"/>
    <mergeCell ref="A64:A65"/>
    <mergeCell ref="B64:B65"/>
    <mergeCell ref="C64:C65"/>
    <mergeCell ref="D64:D65"/>
    <mergeCell ref="F64:F65"/>
    <mergeCell ref="G64:G65"/>
    <mergeCell ref="I76:I77"/>
    <mergeCell ref="A78:A79"/>
    <mergeCell ref="B78:B79"/>
    <mergeCell ref="C78:C79"/>
    <mergeCell ref="D78:D79"/>
    <mergeCell ref="F78:F79"/>
    <mergeCell ref="G78:G79"/>
    <mergeCell ref="H78:H79"/>
    <mergeCell ref="A76:A77"/>
    <mergeCell ref="B76:B77"/>
    <mergeCell ref="C76:C77"/>
    <mergeCell ref="F76:F77"/>
    <mergeCell ref="G76:G77"/>
    <mergeCell ref="H76:H77"/>
    <mergeCell ref="H72:H73"/>
    <mergeCell ref="I72:I73"/>
    <mergeCell ref="A74:A75"/>
    <mergeCell ref="B74:B75"/>
    <mergeCell ref="C74:C75"/>
    <mergeCell ref="D74:D75"/>
    <mergeCell ref="F74:F75"/>
    <mergeCell ref="G74:G75"/>
    <mergeCell ref="H74:H75"/>
    <mergeCell ref="I74:I75"/>
    <mergeCell ref="A72:A73"/>
    <mergeCell ref="B72:B73"/>
    <mergeCell ref="C72:C73"/>
    <mergeCell ref="D72:D73"/>
    <mergeCell ref="F72:F73"/>
    <mergeCell ref="G72:G73"/>
    <mergeCell ref="H84:H85"/>
    <mergeCell ref="I84:I85"/>
    <mergeCell ref="A86:A87"/>
    <mergeCell ref="B86:B87"/>
    <mergeCell ref="C86:C87"/>
    <mergeCell ref="D86:D87"/>
    <mergeCell ref="F86:F87"/>
    <mergeCell ref="G86:G87"/>
    <mergeCell ref="H86:H87"/>
    <mergeCell ref="I86:I87"/>
    <mergeCell ref="A84:A85"/>
    <mergeCell ref="B84:B85"/>
    <mergeCell ref="C84:C85"/>
    <mergeCell ref="D84:D85"/>
    <mergeCell ref="F84:F85"/>
    <mergeCell ref="G84:G85"/>
    <mergeCell ref="H80:H83"/>
    <mergeCell ref="I80:I83"/>
    <mergeCell ref="B82:B83"/>
    <mergeCell ref="C82:C83"/>
    <mergeCell ref="D82:D83"/>
    <mergeCell ref="F82:F83"/>
    <mergeCell ref="A80:A83"/>
    <mergeCell ref="B80:B81"/>
    <mergeCell ref="C80:C81"/>
    <mergeCell ref="D80:D81"/>
    <mergeCell ref="F80:F81"/>
    <mergeCell ref="G80:G83"/>
    <mergeCell ref="B92:B93"/>
    <mergeCell ref="C92:C93"/>
    <mergeCell ref="D92:D93"/>
    <mergeCell ref="F92:F93"/>
    <mergeCell ref="A94:A95"/>
    <mergeCell ref="B94:B95"/>
    <mergeCell ref="C94:C95"/>
    <mergeCell ref="D94:D95"/>
    <mergeCell ref="F94:F95"/>
    <mergeCell ref="H88:H89"/>
    <mergeCell ref="I88:I89"/>
    <mergeCell ref="A90:A93"/>
    <mergeCell ref="B90:B91"/>
    <mergeCell ref="C90:C91"/>
    <mergeCell ref="D90:D91"/>
    <mergeCell ref="F90:F91"/>
    <mergeCell ref="G90:G93"/>
    <mergeCell ref="H90:H93"/>
    <mergeCell ref="I90:I93"/>
    <mergeCell ref="A88:A89"/>
    <mergeCell ref="B88:B89"/>
    <mergeCell ref="C88:C89"/>
    <mergeCell ref="D88:D89"/>
    <mergeCell ref="F88:F89"/>
    <mergeCell ref="G88:G89"/>
    <mergeCell ref="I96:I97"/>
    <mergeCell ref="A98:A99"/>
    <mergeCell ref="B98:B99"/>
    <mergeCell ref="C98:C99"/>
    <mergeCell ref="D98:D99"/>
    <mergeCell ref="F98:F99"/>
    <mergeCell ref="G98:G99"/>
    <mergeCell ref="H98:H99"/>
    <mergeCell ref="I98:I99"/>
    <mergeCell ref="G94:G95"/>
    <mergeCell ref="H94:H95"/>
    <mergeCell ref="I94:I95"/>
    <mergeCell ref="A96:A97"/>
    <mergeCell ref="B96:B97"/>
    <mergeCell ref="C96:C97"/>
    <mergeCell ref="D96:D97"/>
    <mergeCell ref="F96:F97"/>
    <mergeCell ref="G96:G97"/>
    <mergeCell ref="H96:H97"/>
    <mergeCell ref="B104:B105"/>
    <mergeCell ref="C104:C105"/>
    <mergeCell ref="D104:D105"/>
    <mergeCell ref="F104:F105"/>
    <mergeCell ref="B106:B107"/>
    <mergeCell ref="C106:C107"/>
    <mergeCell ref="D106:D107"/>
    <mergeCell ref="F106:F107"/>
    <mergeCell ref="H100:H101"/>
    <mergeCell ref="I100:I101"/>
    <mergeCell ref="A102:A109"/>
    <mergeCell ref="B102:B103"/>
    <mergeCell ref="C102:C103"/>
    <mergeCell ref="D102:D103"/>
    <mergeCell ref="F102:F103"/>
    <mergeCell ref="G102:G109"/>
    <mergeCell ref="H102:H109"/>
    <mergeCell ref="I102:I109"/>
    <mergeCell ref="A100:A101"/>
    <mergeCell ref="B100:B101"/>
    <mergeCell ref="C100:C101"/>
    <mergeCell ref="D100:D101"/>
    <mergeCell ref="F100:F101"/>
    <mergeCell ref="G100:G101"/>
    <mergeCell ref="G110:G111"/>
    <mergeCell ref="H110:H111"/>
    <mergeCell ref="I110:I111"/>
    <mergeCell ref="A112:A113"/>
    <mergeCell ref="B112:B113"/>
    <mergeCell ref="C112:C113"/>
    <mergeCell ref="D112:D113"/>
    <mergeCell ref="F112:F113"/>
    <mergeCell ref="G112:G113"/>
    <mergeCell ref="H112:H113"/>
    <mergeCell ref="B108:B109"/>
    <mergeCell ref="C108:C109"/>
    <mergeCell ref="D108:D109"/>
    <mergeCell ref="F108:F109"/>
    <mergeCell ref="A110:A111"/>
    <mergeCell ref="B110:B111"/>
    <mergeCell ref="C110:C111"/>
    <mergeCell ref="D110:D111"/>
    <mergeCell ref="F110:F111"/>
    <mergeCell ref="H116:H117"/>
    <mergeCell ref="I116:I117"/>
    <mergeCell ref="A118:A119"/>
    <mergeCell ref="B118:B119"/>
    <mergeCell ref="C118:C119"/>
    <mergeCell ref="D118:D119"/>
    <mergeCell ref="F118:F119"/>
    <mergeCell ref="G118:G119"/>
    <mergeCell ref="H118:H119"/>
    <mergeCell ref="I118:I119"/>
    <mergeCell ref="A116:A117"/>
    <mergeCell ref="B116:B117"/>
    <mergeCell ref="C116:C117"/>
    <mergeCell ref="D116:D117"/>
    <mergeCell ref="F116:F117"/>
    <mergeCell ref="G116:G117"/>
    <mergeCell ref="I112:I113"/>
    <mergeCell ref="A114:A115"/>
    <mergeCell ref="B114:B115"/>
    <mergeCell ref="C114:C115"/>
    <mergeCell ref="D114:D115"/>
    <mergeCell ref="F114:F115"/>
    <mergeCell ref="G114:G115"/>
    <mergeCell ref="H114:H115"/>
    <mergeCell ref="I114:I115"/>
    <mergeCell ref="H124:H127"/>
    <mergeCell ref="I124:I127"/>
    <mergeCell ref="B126:B127"/>
    <mergeCell ref="C126:C127"/>
    <mergeCell ref="D126:D127"/>
    <mergeCell ref="F126:F127"/>
    <mergeCell ref="G126:G127"/>
    <mergeCell ref="A124:A127"/>
    <mergeCell ref="B124:B125"/>
    <mergeCell ref="C124:C125"/>
    <mergeCell ref="D124:D125"/>
    <mergeCell ref="F124:F125"/>
    <mergeCell ref="G124:G125"/>
    <mergeCell ref="H120:H121"/>
    <mergeCell ref="I120:I121"/>
    <mergeCell ref="A122:A123"/>
    <mergeCell ref="B122:B123"/>
    <mergeCell ref="C122:C123"/>
    <mergeCell ref="D122:D123"/>
    <mergeCell ref="F122:F123"/>
    <mergeCell ref="G122:G123"/>
    <mergeCell ref="H122:H123"/>
    <mergeCell ref="I122:I123"/>
    <mergeCell ref="A120:A121"/>
    <mergeCell ref="B120:B121"/>
    <mergeCell ref="C120:C121"/>
    <mergeCell ref="D120:D121"/>
    <mergeCell ref="F120:F121"/>
    <mergeCell ref="G120:G121"/>
    <mergeCell ref="H132:H133"/>
    <mergeCell ref="I132:I133"/>
    <mergeCell ref="A134:A135"/>
    <mergeCell ref="B134:B135"/>
    <mergeCell ref="C134:C135"/>
    <mergeCell ref="D134:D135"/>
    <mergeCell ref="F134:F135"/>
    <mergeCell ref="G134:G135"/>
    <mergeCell ref="H134:H135"/>
    <mergeCell ref="A132:A133"/>
    <mergeCell ref="B132:B133"/>
    <mergeCell ref="C132:C133"/>
    <mergeCell ref="D132:D133"/>
    <mergeCell ref="F132:F133"/>
    <mergeCell ref="G132:G133"/>
    <mergeCell ref="H128:H129"/>
    <mergeCell ref="I128:I129"/>
    <mergeCell ref="A130:A131"/>
    <mergeCell ref="B130:B131"/>
    <mergeCell ref="C130:C131"/>
    <mergeCell ref="D130:D131"/>
    <mergeCell ref="F130:F131"/>
    <mergeCell ref="G130:G131"/>
    <mergeCell ref="H130:H131"/>
    <mergeCell ref="A128:A129"/>
    <mergeCell ref="B128:B129"/>
    <mergeCell ref="C128:C129"/>
    <mergeCell ref="D128:D129"/>
    <mergeCell ref="F128:F129"/>
    <mergeCell ref="G128:G129"/>
    <mergeCell ref="H140:H141"/>
    <mergeCell ref="I140:I141"/>
    <mergeCell ref="A142:A143"/>
    <mergeCell ref="B142:B143"/>
    <mergeCell ref="C142:C143"/>
    <mergeCell ref="D142:D143"/>
    <mergeCell ref="E142:E143"/>
    <mergeCell ref="F142:F143"/>
    <mergeCell ref="G142:G143"/>
    <mergeCell ref="H142:H143"/>
    <mergeCell ref="A140:A141"/>
    <mergeCell ref="B140:B141"/>
    <mergeCell ref="C140:C141"/>
    <mergeCell ref="D140:D141"/>
    <mergeCell ref="F140:F141"/>
    <mergeCell ref="G140:G141"/>
    <mergeCell ref="H136:H137"/>
    <mergeCell ref="I136:I137"/>
    <mergeCell ref="A138:A139"/>
    <mergeCell ref="B138:B139"/>
    <mergeCell ref="C138:C139"/>
    <mergeCell ref="D138:D139"/>
    <mergeCell ref="F138:F139"/>
    <mergeCell ref="G138:G139"/>
    <mergeCell ref="H138:H139"/>
    <mergeCell ref="I138:I139"/>
    <mergeCell ref="A136:A137"/>
    <mergeCell ref="B136:B137"/>
    <mergeCell ref="C136:C137"/>
    <mergeCell ref="D136:D137"/>
    <mergeCell ref="F136:F137"/>
    <mergeCell ref="G136:G137"/>
    <mergeCell ref="I146:I147"/>
    <mergeCell ref="A148:A151"/>
    <mergeCell ref="B148:B149"/>
    <mergeCell ref="C148:C149"/>
    <mergeCell ref="D148:D149"/>
    <mergeCell ref="F148:F149"/>
    <mergeCell ref="G148:G151"/>
    <mergeCell ref="H148:H151"/>
    <mergeCell ref="I148:I151"/>
    <mergeCell ref="B150:B151"/>
    <mergeCell ref="B146:B147"/>
    <mergeCell ref="C146:C147"/>
    <mergeCell ref="D146:D147"/>
    <mergeCell ref="F146:F147"/>
    <mergeCell ref="G146:G147"/>
    <mergeCell ref="H146:H147"/>
    <mergeCell ref="I142:I143"/>
    <mergeCell ref="A144:A145"/>
    <mergeCell ref="B144:B145"/>
    <mergeCell ref="C144:C145"/>
    <mergeCell ref="D144:D145"/>
    <mergeCell ref="F144:F145"/>
    <mergeCell ref="G144:G145"/>
    <mergeCell ref="H144:H145"/>
    <mergeCell ref="I144:I145"/>
    <mergeCell ref="G152:G153"/>
    <mergeCell ref="H152:H153"/>
    <mergeCell ref="I152:I153"/>
    <mergeCell ref="A154:A155"/>
    <mergeCell ref="B154:B155"/>
    <mergeCell ref="C154:C155"/>
    <mergeCell ref="D154:D155"/>
    <mergeCell ref="F154:F155"/>
    <mergeCell ref="G154:G155"/>
    <mergeCell ref="H154:H155"/>
    <mergeCell ref="C150:C151"/>
    <mergeCell ref="D150:D151"/>
    <mergeCell ref="F150:F151"/>
    <mergeCell ref="A152:A153"/>
    <mergeCell ref="B152:B153"/>
    <mergeCell ref="C152:C153"/>
    <mergeCell ref="D152:D153"/>
    <mergeCell ref="F152:F153"/>
    <mergeCell ref="H158:H159"/>
    <mergeCell ref="I158:I159"/>
    <mergeCell ref="B160:B161"/>
    <mergeCell ref="C160:C161"/>
    <mergeCell ref="D160:D161"/>
    <mergeCell ref="F160:F161"/>
    <mergeCell ref="G160:G161"/>
    <mergeCell ref="H160:H161"/>
    <mergeCell ref="I160:I161"/>
    <mergeCell ref="A158:A159"/>
    <mergeCell ref="B158:B159"/>
    <mergeCell ref="C158:C159"/>
    <mergeCell ref="D158:D159"/>
    <mergeCell ref="F158:F159"/>
    <mergeCell ref="G158:G159"/>
    <mergeCell ref="I154:I155"/>
    <mergeCell ref="A156:A157"/>
    <mergeCell ref="B156:B157"/>
    <mergeCell ref="C156:C157"/>
    <mergeCell ref="D156:D157"/>
    <mergeCell ref="F156:F157"/>
    <mergeCell ref="G156:G157"/>
    <mergeCell ref="H156:H157"/>
    <mergeCell ref="I156:I157"/>
    <mergeCell ref="I166:I167"/>
    <mergeCell ref="A168:A169"/>
    <mergeCell ref="B168:B169"/>
    <mergeCell ref="C168:C169"/>
    <mergeCell ref="D168:D169"/>
    <mergeCell ref="F168:F169"/>
    <mergeCell ref="G168:G169"/>
    <mergeCell ref="H168:H169"/>
    <mergeCell ref="I168:I169"/>
    <mergeCell ref="B166:B167"/>
    <mergeCell ref="C166:C167"/>
    <mergeCell ref="D166:D167"/>
    <mergeCell ref="F166:F167"/>
    <mergeCell ref="G166:G167"/>
    <mergeCell ref="H166:H167"/>
    <mergeCell ref="G162:G163"/>
    <mergeCell ref="H162:H163"/>
    <mergeCell ref="I162:I163"/>
    <mergeCell ref="B164:B165"/>
    <mergeCell ref="C164:C165"/>
    <mergeCell ref="D164:D165"/>
    <mergeCell ref="F164:F165"/>
    <mergeCell ref="G164:G165"/>
    <mergeCell ref="H164:H165"/>
    <mergeCell ref="I164:I165"/>
    <mergeCell ref="A162:A163"/>
    <mergeCell ref="B162:B163"/>
    <mergeCell ref="C162:C163"/>
    <mergeCell ref="D162:D163"/>
    <mergeCell ref="E162:E163"/>
    <mergeCell ref="F162:F163"/>
    <mergeCell ref="B174:B175"/>
    <mergeCell ref="C174:C175"/>
    <mergeCell ref="D174:D175"/>
    <mergeCell ref="F174:F175"/>
    <mergeCell ref="B176:B177"/>
    <mergeCell ref="C176:C177"/>
    <mergeCell ref="D176:D177"/>
    <mergeCell ref="F176:F177"/>
    <mergeCell ref="H170:H171"/>
    <mergeCell ref="I170:I171"/>
    <mergeCell ref="A172:A177"/>
    <mergeCell ref="B172:B173"/>
    <mergeCell ref="C172:C173"/>
    <mergeCell ref="D172:D173"/>
    <mergeCell ref="F172:F173"/>
    <mergeCell ref="G172:G175"/>
    <mergeCell ref="H172:H177"/>
    <mergeCell ref="I172:I177"/>
    <mergeCell ref="A170:A171"/>
    <mergeCell ref="B170:B171"/>
    <mergeCell ref="C170:C171"/>
    <mergeCell ref="D170:D171"/>
    <mergeCell ref="F170:F171"/>
    <mergeCell ref="G170:G171"/>
    <mergeCell ref="B188:B189"/>
    <mergeCell ref="C188:C189"/>
    <mergeCell ref="D188:D189"/>
    <mergeCell ref="F188:F189"/>
    <mergeCell ref="H178:H179"/>
    <mergeCell ref="I178:I179"/>
    <mergeCell ref="A180:A181"/>
    <mergeCell ref="B180:B181"/>
    <mergeCell ref="C180:C181"/>
    <mergeCell ref="D180:D181"/>
    <mergeCell ref="F180:F181"/>
    <mergeCell ref="G180:G181"/>
    <mergeCell ref="H180:H181"/>
    <mergeCell ref="I180:I181"/>
    <mergeCell ref="G176:G177"/>
    <mergeCell ref="A178:A179"/>
    <mergeCell ref="B178:B179"/>
    <mergeCell ref="C178:C179"/>
    <mergeCell ref="D178:D179"/>
    <mergeCell ref="F178:F179"/>
    <mergeCell ref="G178:G179"/>
    <mergeCell ref="H190:H193"/>
    <mergeCell ref="I190:I199"/>
    <mergeCell ref="B192:B193"/>
    <mergeCell ref="C192:C193"/>
    <mergeCell ref="D192:D193"/>
    <mergeCell ref="F192:F193"/>
    <mergeCell ref="B194:B195"/>
    <mergeCell ref="C194:C195"/>
    <mergeCell ref="D194:D195"/>
    <mergeCell ref="F194:F195"/>
    <mergeCell ref="A190:A199"/>
    <mergeCell ref="B190:B191"/>
    <mergeCell ref="C190:C191"/>
    <mergeCell ref="D190:D191"/>
    <mergeCell ref="F190:F191"/>
    <mergeCell ref="G190:G199"/>
    <mergeCell ref="H182:H189"/>
    <mergeCell ref="I182:I189"/>
    <mergeCell ref="B184:B185"/>
    <mergeCell ref="C184:C185"/>
    <mergeCell ref="D184:D185"/>
    <mergeCell ref="F184:F185"/>
    <mergeCell ref="B186:B187"/>
    <mergeCell ref="C186:C187"/>
    <mergeCell ref="D186:D187"/>
    <mergeCell ref="F186:F187"/>
    <mergeCell ref="A182:A189"/>
    <mergeCell ref="B182:B183"/>
    <mergeCell ref="C182:C183"/>
    <mergeCell ref="D182:D183"/>
    <mergeCell ref="F182:F183"/>
    <mergeCell ref="G182:G189"/>
    <mergeCell ref="H200:H201"/>
    <mergeCell ref="I200:I201"/>
    <mergeCell ref="A202:A203"/>
    <mergeCell ref="B202:B203"/>
    <mergeCell ref="C202:C203"/>
    <mergeCell ref="D202:D203"/>
    <mergeCell ref="E202:E203"/>
    <mergeCell ref="F202:F203"/>
    <mergeCell ref="G202:G203"/>
    <mergeCell ref="H202:H203"/>
    <mergeCell ref="A200:A201"/>
    <mergeCell ref="B200:B201"/>
    <mergeCell ref="C200:C201"/>
    <mergeCell ref="D200:D201"/>
    <mergeCell ref="F200:F201"/>
    <mergeCell ref="G200:G201"/>
    <mergeCell ref="H194:H195"/>
    <mergeCell ref="B196:B197"/>
    <mergeCell ref="C196:C197"/>
    <mergeCell ref="D196:D197"/>
    <mergeCell ref="F196:F197"/>
    <mergeCell ref="B198:B199"/>
    <mergeCell ref="C198:C199"/>
    <mergeCell ref="D198:D199"/>
    <mergeCell ref="F198:F199"/>
    <mergeCell ref="I206:I207"/>
    <mergeCell ref="A208:A209"/>
    <mergeCell ref="B208:B209"/>
    <mergeCell ref="C208:C209"/>
    <mergeCell ref="D208:D209"/>
    <mergeCell ref="F208:F209"/>
    <mergeCell ref="G208:G209"/>
    <mergeCell ref="H208:H209"/>
    <mergeCell ref="I208:I209"/>
    <mergeCell ref="B206:B207"/>
    <mergeCell ref="C206:C207"/>
    <mergeCell ref="D206:D207"/>
    <mergeCell ref="F206:F207"/>
    <mergeCell ref="G206:G207"/>
    <mergeCell ref="H206:H207"/>
    <mergeCell ref="I202:I203"/>
    <mergeCell ref="A204:A205"/>
    <mergeCell ref="B204:B205"/>
    <mergeCell ref="C204:C205"/>
    <mergeCell ref="D204:D205"/>
    <mergeCell ref="F204:F205"/>
    <mergeCell ref="G204:G205"/>
    <mergeCell ref="H204:H205"/>
    <mergeCell ref="I204:I205"/>
    <mergeCell ref="H214:H215"/>
    <mergeCell ref="I214:I215"/>
    <mergeCell ref="A216:A219"/>
    <mergeCell ref="B216:B217"/>
    <mergeCell ref="C216:C217"/>
    <mergeCell ref="D216:D217"/>
    <mergeCell ref="F216:F217"/>
    <mergeCell ref="G216:G219"/>
    <mergeCell ref="H216:H219"/>
    <mergeCell ref="I216:I219"/>
    <mergeCell ref="A214:A215"/>
    <mergeCell ref="B214:B215"/>
    <mergeCell ref="C214:C215"/>
    <mergeCell ref="D214:D215"/>
    <mergeCell ref="F214:F215"/>
    <mergeCell ref="G214:G215"/>
    <mergeCell ref="H210:H213"/>
    <mergeCell ref="I210:I213"/>
    <mergeCell ref="B212:B213"/>
    <mergeCell ref="C212:C213"/>
    <mergeCell ref="D212:D213"/>
    <mergeCell ref="F212:F213"/>
    <mergeCell ref="G212:G213"/>
    <mergeCell ref="A210:A213"/>
    <mergeCell ref="B210:B211"/>
    <mergeCell ref="C210:C211"/>
    <mergeCell ref="D210:D211"/>
    <mergeCell ref="F210:F211"/>
    <mergeCell ref="G210:G211"/>
    <mergeCell ref="G220:G221"/>
    <mergeCell ref="H220:H221"/>
    <mergeCell ref="I220:I221"/>
    <mergeCell ref="A222:A225"/>
    <mergeCell ref="B222:B223"/>
    <mergeCell ref="C222:C223"/>
    <mergeCell ref="D222:D223"/>
    <mergeCell ref="F222:F225"/>
    <mergeCell ref="G222:G225"/>
    <mergeCell ref="H222:H225"/>
    <mergeCell ref="B218:B219"/>
    <mergeCell ref="C218:C219"/>
    <mergeCell ref="D218:D219"/>
    <mergeCell ref="F218:F219"/>
    <mergeCell ref="B220:B221"/>
    <mergeCell ref="C220:C221"/>
    <mergeCell ref="D220:D221"/>
    <mergeCell ref="F220:F221"/>
    <mergeCell ref="H226:H227"/>
    <mergeCell ref="I226:I227"/>
    <mergeCell ref="A228:A233"/>
    <mergeCell ref="B228:B229"/>
    <mergeCell ref="C228:C229"/>
    <mergeCell ref="D228:D229"/>
    <mergeCell ref="F228:F229"/>
    <mergeCell ref="G228:G233"/>
    <mergeCell ref="H228:H233"/>
    <mergeCell ref="I228:I233"/>
    <mergeCell ref="I222:I225"/>
    <mergeCell ref="B224:B225"/>
    <mergeCell ref="C224:C225"/>
    <mergeCell ref="D224:D225"/>
    <mergeCell ref="A226:A227"/>
    <mergeCell ref="B226:B227"/>
    <mergeCell ref="C226:C227"/>
    <mergeCell ref="D226:D227"/>
    <mergeCell ref="F226:F227"/>
    <mergeCell ref="G226:G227"/>
    <mergeCell ref="H234:H237"/>
    <mergeCell ref="I234:I237"/>
    <mergeCell ref="B236:B237"/>
    <mergeCell ref="C236:C237"/>
    <mergeCell ref="D236:D237"/>
    <mergeCell ref="B238:B239"/>
    <mergeCell ref="C238:C239"/>
    <mergeCell ref="D238:D239"/>
    <mergeCell ref="F238:F239"/>
    <mergeCell ref="G238:G239"/>
    <mergeCell ref="A234:A237"/>
    <mergeCell ref="B234:B235"/>
    <mergeCell ref="C234:C235"/>
    <mergeCell ref="D234:D235"/>
    <mergeCell ref="F234:F237"/>
    <mergeCell ref="G234:G237"/>
    <mergeCell ref="B230:B231"/>
    <mergeCell ref="C230:C231"/>
    <mergeCell ref="D230:D231"/>
    <mergeCell ref="F230:F231"/>
    <mergeCell ref="B232:B233"/>
    <mergeCell ref="C232:C233"/>
    <mergeCell ref="D232:D233"/>
    <mergeCell ref="F232:F233"/>
    <mergeCell ref="B242:B243"/>
    <mergeCell ref="C242:C243"/>
    <mergeCell ref="D242:D243"/>
    <mergeCell ref="F242:F243"/>
    <mergeCell ref="G242:G243"/>
    <mergeCell ref="B244:B245"/>
    <mergeCell ref="C244:C245"/>
    <mergeCell ref="D244:D245"/>
    <mergeCell ref="F244:F245"/>
    <mergeCell ref="G244:G249"/>
    <mergeCell ref="H238:H239"/>
    <mergeCell ref="I238:I239"/>
    <mergeCell ref="A240:A249"/>
    <mergeCell ref="B240:B241"/>
    <mergeCell ref="C240:C241"/>
    <mergeCell ref="D240:D241"/>
    <mergeCell ref="F240:F241"/>
    <mergeCell ref="G240:G241"/>
    <mergeCell ref="H240:H249"/>
    <mergeCell ref="I240:I249"/>
    <mergeCell ref="H250:H251"/>
    <mergeCell ref="I250:I251"/>
    <mergeCell ref="A252:A253"/>
    <mergeCell ref="B252:B253"/>
    <mergeCell ref="C252:C253"/>
    <mergeCell ref="D252:D253"/>
    <mergeCell ref="F252:F253"/>
    <mergeCell ref="G252:G253"/>
    <mergeCell ref="H252:H253"/>
    <mergeCell ref="I252:I253"/>
    <mergeCell ref="A250:A251"/>
    <mergeCell ref="B250:B251"/>
    <mergeCell ref="C250:C251"/>
    <mergeCell ref="D250:D251"/>
    <mergeCell ref="F250:F251"/>
    <mergeCell ref="G250:G251"/>
    <mergeCell ref="B246:B247"/>
    <mergeCell ref="C246:C247"/>
    <mergeCell ref="D246:D247"/>
    <mergeCell ref="F246:F247"/>
    <mergeCell ref="B248:B249"/>
    <mergeCell ref="C248:C249"/>
    <mergeCell ref="D248:D249"/>
    <mergeCell ref="F248:F249"/>
    <mergeCell ref="B258:B259"/>
    <mergeCell ref="C258:C259"/>
    <mergeCell ref="D258:D259"/>
    <mergeCell ref="B260:B261"/>
    <mergeCell ref="C260:C261"/>
    <mergeCell ref="D260:D261"/>
    <mergeCell ref="H254:H255"/>
    <mergeCell ref="I254:I255"/>
    <mergeCell ref="A256:A269"/>
    <mergeCell ref="B256:B257"/>
    <mergeCell ref="C256:C257"/>
    <mergeCell ref="D256:D257"/>
    <mergeCell ref="F256:F261"/>
    <mergeCell ref="G256:G269"/>
    <mergeCell ref="H256:H269"/>
    <mergeCell ref="I256:I269"/>
    <mergeCell ref="A254:A255"/>
    <mergeCell ref="B254:B255"/>
    <mergeCell ref="C254:C255"/>
    <mergeCell ref="D254:D255"/>
    <mergeCell ref="F254:F255"/>
    <mergeCell ref="G254:G255"/>
    <mergeCell ref="G270:G273"/>
    <mergeCell ref="H270:H273"/>
    <mergeCell ref="I270:I273"/>
    <mergeCell ref="B272:B273"/>
    <mergeCell ref="C272:C273"/>
    <mergeCell ref="D272:D273"/>
    <mergeCell ref="B268:B269"/>
    <mergeCell ref="C268:C269"/>
    <mergeCell ref="D268:D269"/>
    <mergeCell ref="F268:F269"/>
    <mergeCell ref="A270:A273"/>
    <mergeCell ref="B270:B271"/>
    <mergeCell ref="C270:C271"/>
    <mergeCell ref="D270:D271"/>
    <mergeCell ref="F270:F273"/>
    <mergeCell ref="B262:B263"/>
    <mergeCell ref="C262:C263"/>
    <mergeCell ref="D262:D263"/>
    <mergeCell ref="F262:F267"/>
    <mergeCell ref="B264:B265"/>
    <mergeCell ref="C264:C265"/>
    <mergeCell ref="D264:D265"/>
    <mergeCell ref="B266:B267"/>
    <mergeCell ref="C266:C267"/>
    <mergeCell ref="D266:D267"/>
    <mergeCell ref="H278:H279"/>
    <mergeCell ref="I278:I279"/>
    <mergeCell ref="A280:A289"/>
    <mergeCell ref="B280:B281"/>
    <mergeCell ref="C280:C281"/>
    <mergeCell ref="D280:D281"/>
    <mergeCell ref="F280:F281"/>
    <mergeCell ref="G280:G281"/>
    <mergeCell ref="H280:H289"/>
    <mergeCell ref="I280:I289"/>
    <mergeCell ref="A278:A279"/>
    <mergeCell ref="B278:B279"/>
    <mergeCell ref="C278:C279"/>
    <mergeCell ref="D278:D279"/>
    <mergeCell ref="F278:F279"/>
    <mergeCell ref="G278:G279"/>
    <mergeCell ref="H274:H275"/>
    <mergeCell ref="I274:I275"/>
    <mergeCell ref="B276:B277"/>
    <mergeCell ref="C276:C277"/>
    <mergeCell ref="D276:D277"/>
    <mergeCell ref="F276:F277"/>
    <mergeCell ref="H276:H277"/>
    <mergeCell ref="I276:I277"/>
    <mergeCell ref="A274:A275"/>
    <mergeCell ref="B274:B275"/>
    <mergeCell ref="C274:C275"/>
    <mergeCell ref="D274:D275"/>
    <mergeCell ref="F274:F275"/>
    <mergeCell ref="G274:G277"/>
    <mergeCell ref="B286:B287"/>
    <mergeCell ref="C286:C287"/>
    <mergeCell ref="D286:D287"/>
    <mergeCell ref="F286:F287"/>
    <mergeCell ref="G286:G289"/>
    <mergeCell ref="B288:B289"/>
    <mergeCell ref="C288:C289"/>
    <mergeCell ref="D288:D289"/>
    <mergeCell ref="F288:F289"/>
    <mergeCell ref="B282:B283"/>
    <mergeCell ref="C282:C283"/>
    <mergeCell ref="D282:D283"/>
    <mergeCell ref="F282:F283"/>
    <mergeCell ref="G282:G283"/>
    <mergeCell ref="B284:B285"/>
    <mergeCell ref="C284:C285"/>
    <mergeCell ref="D284:D285"/>
    <mergeCell ref="F284:F285"/>
    <mergeCell ref="G284:G285"/>
    <mergeCell ref="B294:B295"/>
    <mergeCell ref="C294:C295"/>
    <mergeCell ref="D294:D295"/>
    <mergeCell ref="F294:F295"/>
    <mergeCell ref="A296:A297"/>
    <mergeCell ref="B296:B297"/>
    <mergeCell ref="C296:C297"/>
    <mergeCell ref="D296:D297"/>
    <mergeCell ref="F296:F297"/>
    <mergeCell ref="H290:H291"/>
    <mergeCell ref="I290:I291"/>
    <mergeCell ref="A292:A295"/>
    <mergeCell ref="B292:B293"/>
    <mergeCell ref="C292:C293"/>
    <mergeCell ref="D292:D293"/>
    <mergeCell ref="F292:F293"/>
    <mergeCell ref="G292:G295"/>
    <mergeCell ref="H292:H295"/>
    <mergeCell ref="I292:I295"/>
    <mergeCell ref="A290:A291"/>
    <mergeCell ref="B290:B291"/>
    <mergeCell ref="C290:C291"/>
    <mergeCell ref="D290:D291"/>
    <mergeCell ref="F290:F291"/>
    <mergeCell ref="G290:G291"/>
    <mergeCell ref="I298:I299"/>
    <mergeCell ref="A300:A301"/>
    <mergeCell ref="B300:B301"/>
    <mergeCell ref="C300:C301"/>
    <mergeCell ref="D300:D301"/>
    <mergeCell ref="F300:F301"/>
    <mergeCell ref="G300:G303"/>
    <mergeCell ref="H300:H301"/>
    <mergeCell ref="I300:I301"/>
    <mergeCell ref="A302:A303"/>
    <mergeCell ref="G296:G297"/>
    <mergeCell ref="H296:H297"/>
    <mergeCell ref="I296:I297"/>
    <mergeCell ref="A298:A299"/>
    <mergeCell ref="B298:B299"/>
    <mergeCell ref="C298:C299"/>
    <mergeCell ref="D298:D299"/>
    <mergeCell ref="F298:F299"/>
    <mergeCell ref="G298:G299"/>
    <mergeCell ref="H298:H299"/>
    <mergeCell ref="G304:G305"/>
    <mergeCell ref="H304:H305"/>
    <mergeCell ref="I304:I305"/>
    <mergeCell ref="A306:A307"/>
    <mergeCell ref="B306:B307"/>
    <mergeCell ref="C306:C307"/>
    <mergeCell ref="D306:D307"/>
    <mergeCell ref="F306:F307"/>
    <mergeCell ref="G306:G307"/>
    <mergeCell ref="H306:H307"/>
    <mergeCell ref="B302:B303"/>
    <mergeCell ref="C302:C303"/>
    <mergeCell ref="D302:D303"/>
    <mergeCell ref="F302:F303"/>
    <mergeCell ref="I302:I303"/>
    <mergeCell ref="A304:A305"/>
    <mergeCell ref="B304:B305"/>
    <mergeCell ref="C304:C305"/>
    <mergeCell ref="D304:D305"/>
    <mergeCell ref="F304:F305"/>
    <mergeCell ref="C310:C311"/>
    <mergeCell ref="D310:D311"/>
    <mergeCell ref="F310:F311"/>
    <mergeCell ref="A312:A315"/>
    <mergeCell ref="B312:B313"/>
    <mergeCell ref="C312:C313"/>
    <mergeCell ref="D312:D313"/>
    <mergeCell ref="F312:F313"/>
    <mergeCell ref="I306:I307"/>
    <mergeCell ref="A308:A311"/>
    <mergeCell ref="B308:B309"/>
    <mergeCell ref="C308:C309"/>
    <mergeCell ref="D308:D309"/>
    <mergeCell ref="F308:F309"/>
    <mergeCell ref="G308:G311"/>
    <mergeCell ref="H308:H311"/>
    <mergeCell ref="I308:I311"/>
    <mergeCell ref="B310:B311"/>
    <mergeCell ref="H316:H317"/>
    <mergeCell ref="I316:I317"/>
    <mergeCell ref="A318:A319"/>
    <mergeCell ref="B318:B319"/>
    <mergeCell ref="C318:C319"/>
    <mergeCell ref="D318:D319"/>
    <mergeCell ref="F318:F319"/>
    <mergeCell ref="G318:G319"/>
    <mergeCell ref="H318:H319"/>
    <mergeCell ref="I318:I319"/>
    <mergeCell ref="A316:A317"/>
    <mergeCell ref="B316:B317"/>
    <mergeCell ref="C316:C317"/>
    <mergeCell ref="D316:D317"/>
    <mergeCell ref="F316:F317"/>
    <mergeCell ref="G316:G317"/>
    <mergeCell ref="G312:G315"/>
    <mergeCell ref="H312:H315"/>
    <mergeCell ref="I312:I315"/>
    <mergeCell ref="B314:B315"/>
    <mergeCell ref="C314:C315"/>
    <mergeCell ref="D314:D315"/>
    <mergeCell ref="F314:F315"/>
    <mergeCell ref="B324:B325"/>
    <mergeCell ref="C324:C325"/>
    <mergeCell ref="D324:D325"/>
    <mergeCell ref="F324:F325"/>
    <mergeCell ref="B326:B327"/>
    <mergeCell ref="C326:C327"/>
    <mergeCell ref="D326:D327"/>
    <mergeCell ref="F326:F327"/>
    <mergeCell ref="H320:H321"/>
    <mergeCell ref="I320:I321"/>
    <mergeCell ref="A322:A333"/>
    <mergeCell ref="B322:B323"/>
    <mergeCell ref="C322:C323"/>
    <mergeCell ref="D322:D323"/>
    <mergeCell ref="F322:F323"/>
    <mergeCell ref="G322:G333"/>
    <mergeCell ref="H322:H333"/>
    <mergeCell ref="I322:I333"/>
    <mergeCell ref="A320:A321"/>
    <mergeCell ref="B320:B321"/>
    <mergeCell ref="C320:C321"/>
    <mergeCell ref="D320:D321"/>
    <mergeCell ref="F320:F321"/>
    <mergeCell ref="G320:G321"/>
    <mergeCell ref="B332:B333"/>
    <mergeCell ref="C332:C333"/>
    <mergeCell ref="D332:D333"/>
    <mergeCell ref="F332:F333"/>
    <mergeCell ref="A334:A335"/>
    <mergeCell ref="B334:B335"/>
    <mergeCell ref="C334:C335"/>
    <mergeCell ref="D334:D335"/>
    <mergeCell ref="F334:F335"/>
    <mergeCell ref="B328:B329"/>
    <mergeCell ref="C328:C329"/>
    <mergeCell ref="D328:D329"/>
    <mergeCell ref="F328:F329"/>
    <mergeCell ref="B330:B331"/>
    <mergeCell ref="C330:C331"/>
    <mergeCell ref="D330:D331"/>
    <mergeCell ref="F330:F331"/>
    <mergeCell ref="I336:I339"/>
    <mergeCell ref="B338:B339"/>
    <mergeCell ref="C338:C339"/>
    <mergeCell ref="D338:D339"/>
    <mergeCell ref="A340:A341"/>
    <mergeCell ref="B340:B341"/>
    <mergeCell ref="C340:C341"/>
    <mergeCell ref="D340:D341"/>
    <mergeCell ref="F340:F341"/>
    <mergeCell ref="G340:G341"/>
    <mergeCell ref="G334:G335"/>
    <mergeCell ref="H334:H335"/>
    <mergeCell ref="I334:I335"/>
    <mergeCell ref="A336:A339"/>
    <mergeCell ref="B336:B337"/>
    <mergeCell ref="C336:C337"/>
    <mergeCell ref="D336:D337"/>
    <mergeCell ref="F336:F339"/>
    <mergeCell ref="G336:G339"/>
    <mergeCell ref="H336:H339"/>
    <mergeCell ref="H344:H345"/>
    <mergeCell ref="I344:I345"/>
    <mergeCell ref="A346:A347"/>
    <mergeCell ref="B346:B347"/>
    <mergeCell ref="C346:C347"/>
    <mergeCell ref="D346:D347"/>
    <mergeCell ref="F346:F347"/>
    <mergeCell ref="G346:G347"/>
    <mergeCell ref="H346:H347"/>
    <mergeCell ref="I346:I347"/>
    <mergeCell ref="A344:A345"/>
    <mergeCell ref="B344:B345"/>
    <mergeCell ref="C344:C345"/>
    <mergeCell ref="D344:D345"/>
    <mergeCell ref="F344:F345"/>
    <mergeCell ref="G344:G345"/>
    <mergeCell ref="H340:H341"/>
    <mergeCell ref="I340:I341"/>
    <mergeCell ref="A342:A343"/>
    <mergeCell ref="B342:B343"/>
    <mergeCell ref="C342:C343"/>
    <mergeCell ref="D342:D343"/>
    <mergeCell ref="F342:F343"/>
    <mergeCell ref="G342:G343"/>
    <mergeCell ref="H342:H343"/>
    <mergeCell ref="I342:I343"/>
    <mergeCell ref="C352:C353"/>
    <mergeCell ref="D352:D353"/>
    <mergeCell ref="F352:F353"/>
    <mergeCell ref="G352:G353"/>
    <mergeCell ref="B354:B355"/>
    <mergeCell ref="C354:C355"/>
    <mergeCell ref="D354:D355"/>
    <mergeCell ref="F354:F355"/>
    <mergeCell ref="G354:G355"/>
    <mergeCell ref="I348:I349"/>
    <mergeCell ref="A350:A355"/>
    <mergeCell ref="B350:B351"/>
    <mergeCell ref="C350:C351"/>
    <mergeCell ref="D350:D351"/>
    <mergeCell ref="F350:F351"/>
    <mergeCell ref="G350:G351"/>
    <mergeCell ref="H350:H355"/>
    <mergeCell ref="I350:I355"/>
    <mergeCell ref="B352:B353"/>
    <mergeCell ref="B348:B349"/>
    <mergeCell ref="C348:C349"/>
    <mergeCell ref="D348:D349"/>
    <mergeCell ref="F348:F349"/>
    <mergeCell ref="G348:G349"/>
    <mergeCell ref="H348:H349"/>
    <mergeCell ref="I358:I359"/>
    <mergeCell ref="A360:A361"/>
    <mergeCell ref="B360:B361"/>
    <mergeCell ref="C360:C361"/>
    <mergeCell ref="D360:D361"/>
    <mergeCell ref="E360:E361"/>
    <mergeCell ref="F360:F361"/>
    <mergeCell ref="G360:G361"/>
    <mergeCell ref="H360:H361"/>
    <mergeCell ref="I360:I361"/>
    <mergeCell ref="H356:H357"/>
    <mergeCell ref="I356:I357"/>
    <mergeCell ref="A358:A359"/>
    <mergeCell ref="B358:B359"/>
    <mergeCell ref="C358:C359"/>
    <mergeCell ref="D358:D359"/>
    <mergeCell ref="E358:E359"/>
    <mergeCell ref="F358:F359"/>
    <mergeCell ref="G358:G359"/>
    <mergeCell ref="H358:H359"/>
    <mergeCell ref="A356:A357"/>
    <mergeCell ref="B356:B357"/>
    <mergeCell ref="C356:C357"/>
    <mergeCell ref="D356:D357"/>
    <mergeCell ref="F356:F357"/>
    <mergeCell ref="G356:G357"/>
    <mergeCell ref="H362:H375"/>
    <mergeCell ref="I362:I375"/>
    <mergeCell ref="B364:B365"/>
    <mergeCell ref="C364:C365"/>
    <mergeCell ref="D364:D365"/>
    <mergeCell ref="F364:F365"/>
    <mergeCell ref="G364:G365"/>
    <mergeCell ref="B366:B367"/>
    <mergeCell ref="C366:C367"/>
    <mergeCell ref="D366:D367"/>
    <mergeCell ref="A362:A375"/>
    <mergeCell ref="B362:B363"/>
    <mergeCell ref="C362:C363"/>
    <mergeCell ref="D362:D363"/>
    <mergeCell ref="F362:F363"/>
    <mergeCell ref="G362:G363"/>
    <mergeCell ref="F366:F367"/>
    <mergeCell ref="G366:G367"/>
    <mergeCell ref="B368:B369"/>
    <mergeCell ref="C368:C369"/>
    <mergeCell ref="F380:F381"/>
    <mergeCell ref="G380:G381"/>
    <mergeCell ref="B372:B373"/>
    <mergeCell ref="C372:C373"/>
    <mergeCell ref="D372:D373"/>
    <mergeCell ref="F372:F373"/>
    <mergeCell ref="G372:G373"/>
    <mergeCell ref="B374:B375"/>
    <mergeCell ref="C374:C375"/>
    <mergeCell ref="D374:D375"/>
    <mergeCell ref="F374:F375"/>
    <mergeCell ref="G374:G375"/>
    <mergeCell ref="D368:D369"/>
    <mergeCell ref="F368:F369"/>
    <mergeCell ref="G368:G369"/>
    <mergeCell ref="B370:B371"/>
    <mergeCell ref="C370:C371"/>
    <mergeCell ref="D370:D371"/>
    <mergeCell ref="F370:F371"/>
    <mergeCell ref="G370:G371"/>
    <mergeCell ref="H382:H383"/>
    <mergeCell ref="I382:I383"/>
    <mergeCell ref="A384:A385"/>
    <mergeCell ref="B384:B385"/>
    <mergeCell ref="C384:C385"/>
    <mergeCell ref="D384:D385"/>
    <mergeCell ref="E384:E385"/>
    <mergeCell ref="F384:F385"/>
    <mergeCell ref="G384:G385"/>
    <mergeCell ref="H384:H385"/>
    <mergeCell ref="A382:A383"/>
    <mergeCell ref="B382:B383"/>
    <mergeCell ref="C382:C383"/>
    <mergeCell ref="D382:D383"/>
    <mergeCell ref="F382:F383"/>
    <mergeCell ref="G382:G383"/>
    <mergeCell ref="H376:H381"/>
    <mergeCell ref="I376:I381"/>
    <mergeCell ref="B378:B379"/>
    <mergeCell ref="C378:C379"/>
    <mergeCell ref="D378:D379"/>
    <mergeCell ref="F378:F379"/>
    <mergeCell ref="G378:G379"/>
    <mergeCell ref="B380:B381"/>
    <mergeCell ref="C380:C381"/>
    <mergeCell ref="D380:D381"/>
    <mergeCell ref="A376:A381"/>
    <mergeCell ref="B376:B377"/>
    <mergeCell ref="C376:C377"/>
    <mergeCell ref="D376:D377"/>
    <mergeCell ref="F376:F377"/>
    <mergeCell ref="G376:G377"/>
    <mergeCell ref="C388:C389"/>
    <mergeCell ref="D388:D389"/>
    <mergeCell ref="F388:F389"/>
    <mergeCell ref="A390:A391"/>
    <mergeCell ref="B390:B391"/>
    <mergeCell ref="C390:C391"/>
    <mergeCell ref="D390:D391"/>
    <mergeCell ref="E390:E391"/>
    <mergeCell ref="F390:F391"/>
    <mergeCell ref="I384:I385"/>
    <mergeCell ref="A386:A389"/>
    <mergeCell ref="B386:B387"/>
    <mergeCell ref="C386:C387"/>
    <mergeCell ref="D386:D387"/>
    <mergeCell ref="F386:F387"/>
    <mergeCell ref="G386:G389"/>
    <mergeCell ref="H386:H389"/>
    <mergeCell ref="I386:I389"/>
    <mergeCell ref="B388:B389"/>
    <mergeCell ref="I392:I393"/>
    <mergeCell ref="B394:B395"/>
    <mergeCell ref="C394:C395"/>
    <mergeCell ref="D394:D395"/>
    <mergeCell ref="F394:F395"/>
    <mergeCell ref="G394:G395"/>
    <mergeCell ref="H394:H395"/>
    <mergeCell ref="I394:I395"/>
    <mergeCell ref="G390:G391"/>
    <mergeCell ref="H390:H391"/>
    <mergeCell ref="I390:I391"/>
    <mergeCell ref="A392:A393"/>
    <mergeCell ref="B392:B393"/>
    <mergeCell ref="C392:C393"/>
    <mergeCell ref="D392:D393"/>
    <mergeCell ref="F392:F393"/>
    <mergeCell ref="G392:G393"/>
    <mergeCell ref="H392:H393"/>
    <mergeCell ref="H400:H401"/>
    <mergeCell ref="I400:I401"/>
    <mergeCell ref="A402:A403"/>
    <mergeCell ref="B402:B403"/>
    <mergeCell ref="C402:C403"/>
    <mergeCell ref="D402:D403"/>
    <mergeCell ref="F402:F403"/>
    <mergeCell ref="G402:G403"/>
    <mergeCell ref="H402:H403"/>
    <mergeCell ref="I402:I403"/>
    <mergeCell ref="A400:A401"/>
    <mergeCell ref="B400:B401"/>
    <mergeCell ref="C400:C401"/>
    <mergeCell ref="D400:D401"/>
    <mergeCell ref="F400:F401"/>
    <mergeCell ref="G400:G401"/>
    <mergeCell ref="H396:H397"/>
    <mergeCell ref="I396:I397"/>
    <mergeCell ref="A398:A399"/>
    <mergeCell ref="B398:B399"/>
    <mergeCell ref="C398:C399"/>
    <mergeCell ref="D398:D399"/>
    <mergeCell ref="F398:F399"/>
    <mergeCell ref="G398:G399"/>
    <mergeCell ref="H398:H399"/>
    <mergeCell ref="I398:I399"/>
    <mergeCell ref="A396:A397"/>
    <mergeCell ref="B396:B397"/>
    <mergeCell ref="C396:C397"/>
    <mergeCell ref="D396:D397"/>
    <mergeCell ref="F396:F397"/>
    <mergeCell ref="G396:G397"/>
    <mergeCell ref="H408:H409"/>
    <mergeCell ref="I408:I409"/>
    <mergeCell ref="A410:A411"/>
    <mergeCell ref="B410:B411"/>
    <mergeCell ref="C410:C411"/>
    <mergeCell ref="D410:D411"/>
    <mergeCell ref="F410:F411"/>
    <mergeCell ref="G410:G411"/>
    <mergeCell ref="H410:H411"/>
    <mergeCell ref="I410:I411"/>
    <mergeCell ref="A408:A409"/>
    <mergeCell ref="B408:B409"/>
    <mergeCell ref="C408:C409"/>
    <mergeCell ref="D408:D409"/>
    <mergeCell ref="F408:F409"/>
    <mergeCell ref="G408:G409"/>
    <mergeCell ref="I404:I405"/>
    <mergeCell ref="A406:A407"/>
    <mergeCell ref="B406:B407"/>
    <mergeCell ref="C406:C407"/>
    <mergeCell ref="D406:D407"/>
    <mergeCell ref="E406:E407"/>
    <mergeCell ref="F406:F407"/>
    <mergeCell ref="G406:G407"/>
    <mergeCell ref="H406:H407"/>
    <mergeCell ref="I406:I407"/>
    <mergeCell ref="A404:A405"/>
    <mergeCell ref="B404:B405"/>
    <mergeCell ref="C404:C405"/>
    <mergeCell ref="D404:D405"/>
    <mergeCell ref="F404:F405"/>
    <mergeCell ref="G404:G405"/>
  </mergeCells>
  <hyperlinks>
    <hyperlink ref="D18" r:id="rId1" xr:uid="{6570535E-6AF0-4202-9391-DB83EF833669}"/>
    <hyperlink ref="D10:D11" r:id="rId2" display="00200.018442/2024-31" xr:uid="{DA3F0009-DD40-402A-999F-9ABEA975FACC}"/>
    <hyperlink ref="E10" r:id="rId3" display="https://intra.senado.leg.br/sigad/novo/protocolo/impressao.asp?cod_protocolo=4112999&amp;area=documento" xr:uid="{B83175DA-DF79-458B-A8E7-F1549CEC8D7B}"/>
    <hyperlink ref="D8:D9" r:id="rId4" display="00200.022124/2024-75" xr:uid="{DBD20E5B-64B9-4B35-971A-8198FCD5F601}"/>
    <hyperlink ref="D24:D25" r:id="rId5" display="00200.022124/2024-75" xr:uid="{C52B86C4-1AD3-48BE-888C-1B2AF5140E85}"/>
    <hyperlink ref="D182:D183" r:id="rId6" display="00200.022124/2024-75" xr:uid="{87EC396E-57A8-4D13-81A2-75BC106FC458}"/>
    <hyperlink ref="D190:D191" r:id="rId7" display="00200.022124/2024-75" xr:uid="{626EBE46-4A59-4678-95DB-60FE7642B118}"/>
    <hyperlink ref="D242:D243" r:id="rId8" display="00200.022124/2024-75" xr:uid="{54C35F27-3455-4AF0-9A72-40EA3235C469}"/>
    <hyperlink ref="D322:D323" r:id="rId9" display="00200.022124/2024-75" xr:uid="{18049F0F-0C64-4944-8FE7-E231D739A64F}"/>
    <hyperlink ref="D376:D377" r:id="rId10" display="00200.022124/2024-75" xr:uid="{EB83B0C4-6AEA-4A3D-8D71-E41E1B3BC881}"/>
    <hyperlink ref="D386:D387" r:id="rId11" display="00200.022124/2024-75" xr:uid="{ACF57465-0873-4993-88A4-276B1B8C07F8}"/>
    <hyperlink ref="D400:D401" r:id="rId12" display="00200.022124/2024-75" xr:uid="{F6967356-1D04-488F-A05E-96AAE73F71D9}"/>
    <hyperlink ref="D408:D409" r:id="rId13" display="00200.022124/2024-75" xr:uid="{9BDCC75E-0449-4183-8046-5F9D4D364940}"/>
    <hyperlink ref="D2:D3" r:id="rId14" display="00200.0022151/2024-48" xr:uid="{2FB1E698-D9CC-4296-8E97-C0C422F0C562}"/>
    <hyperlink ref="D4:D5" r:id="rId15" display="00200.000279/2025-31" xr:uid="{B402550B-0E68-4F29-B9FB-0277530AA6E6}"/>
    <hyperlink ref="D14:D15" r:id="rId16" display="00200.000679/2025-47" xr:uid="{06253459-8E96-4F4B-BE47-EC3F0EDD9949}"/>
    <hyperlink ref="D6:D7" r:id="rId17" display="00200.000725/2025-16" xr:uid="{630FB51A-3621-449F-BB0C-3AA5CB1FC6C4}"/>
    <hyperlink ref="E4:E5" r:id="rId18" display="https://intra.senado.leg.br/sigad/novo/protocolo/impressao.asp?area=processo&amp;cod_protocolo=4195411&amp;cod_frente_verso=&amp;cod_juntada=&amp;txt_funcao=" xr:uid="{CD6F5A21-3C51-4006-9F9D-B04A6AE236C3}"/>
    <hyperlink ref="E6" r:id="rId19" display="https://intra.senado.leg.br/sigad/novo/protocolo/impressao.asp?area=processo&amp;cod_protocolo=4208986&amp;cod_frente_verso=&amp;cod_juntada=&amp;txt_funcao=" xr:uid="{83CC6932-2C3D-4282-BF80-285430A774D8}"/>
    <hyperlink ref="E14" r:id="rId20" display="https://intra.senado.leg.br/sigad/novo/protocolo/impressao.asp?area=processo&amp;cod_protocolo=4223531&amp;cod_frente_verso=&amp;cod_juntada=&amp;txt_funcao=" xr:uid="{C32C2697-A347-4522-8D8C-75ADA6DAFC55}"/>
    <hyperlink ref="E8" r:id="rId21" display="https://intra.senado.leg.br/sigad/novo/protocolo/impressao.asp?area=processo&amp;cod_protocolo=4223434&amp;cod_frente_verso=&amp;cod_juntada=&amp;txt_funcao=" xr:uid="{D16BFDA0-1B44-4778-9574-B446BAEE1362}"/>
    <hyperlink ref="E24" r:id="rId22" display="https://intra.senado.leg.br/sigad/novo/protocolo/impressao.asp?area=processo&amp;cod_protocolo=4223434&amp;cod_frente_verso=&amp;cod_juntada=&amp;txt_funcao=" xr:uid="{8D1E7F35-5D54-4291-9693-7F8593D7F97C}"/>
    <hyperlink ref="E182" r:id="rId23" display="https://intra.senado.leg.br/sigad/novo/protocolo/impressao.asp?area=processo&amp;cod_protocolo=4223434&amp;cod_frente_verso=&amp;cod_juntada=&amp;txt_funcao=" xr:uid="{1735C8EB-0CAB-43B2-B4A8-955B5BC61254}"/>
    <hyperlink ref="E190" r:id="rId24" display="https://intra.senado.leg.br/sigad/novo/protocolo/impressao.asp?area=processo&amp;cod_protocolo=4223434&amp;cod_frente_verso=&amp;cod_juntada=&amp;txt_funcao=" xr:uid="{05AA33AF-2EE3-43DC-AB3F-FCE5F854ABF3}"/>
    <hyperlink ref="E212" r:id="rId25" display="https://intra.senado.leg.br/sigad/novo/protocolo/impressao.asp?area=processo&amp;cod_protocolo=4223434&amp;cod_frente_verso=&amp;cod_juntada=&amp;txt_funcao=" xr:uid="{467EDA90-E6F6-4C95-B3B9-01A641B6EDE0}"/>
    <hyperlink ref="E242" r:id="rId26" display="https://intra.senado.leg.br/sigad/novo/protocolo/impressao.asp?area=processo&amp;cod_protocolo=4223434&amp;cod_frente_verso=&amp;cod_juntada=&amp;txt_funcao=" xr:uid="{67909F1C-8FC0-40B2-8B27-D6A0E0E24251}"/>
    <hyperlink ref="E322" r:id="rId27" display="https://intra.senado.leg.br/sigad/novo/protocolo/impressao.asp?area=processo&amp;cod_protocolo=4223434&amp;cod_frente_verso=&amp;cod_juntada=&amp;txt_funcao=" xr:uid="{9BFE64F0-2D3E-4467-BDE3-24FCBDC18AF2}"/>
    <hyperlink ref="E376" r:id="rId28" display="https://intra.senado.leg.br/sigad/novo/protocolo/impressao.asp?area=processo&amp;cod_protocolo=4223434&amp;cod_frente_verso=&amp;cod_juntada=&amp;txt_funcao=" xr:uid="{8D3523EF-FDDD-4A4D-8B47-B84AECEA4881}"/>
    <hyperlink ref="E386" r:id="rId29" display="https://intra.senado.leg.br/sigad/novo/protocolo/impressao.asp?area=processo&amp;cod_protocolo=4223434&amp;cod_frente_verso=&amp;cod_juntada=&amp;txt_funcao=" xr:uid="{F346923E-0CE8-42D7-9F4F-1C06D9492AA9}"/>
    <hyperlink ref="E400" r:id="rId30" display="https://intra.senado.leg.br/sigad/novo/protocolo/impressao.asp?area=processo&amp;cod_protocolo=4223434&amp;cod_frente_verso=&amp;cod_juntada=&amp;txt_funcao=" xr:uid="{0EFED5DB-8729-4702-8CCE-BC56BB10163A}"/>
    <hyperlink ref="E408" r:id="rId31" display="https://intra.senado.leg.br/sigad/novo/protocolo/impressao.asp?area=processo&amp;cod_protocolo=4223434&amp;cod_frente_verso=&amp;cod_juntada=&amp;txt_funcao=" xr:uid="{DC47364F-D988-4363-80A2-468B682FFE3B}"/>
    <hyperlink ref="D20" r:id="rId32" xr:uid="{14DDB712-11AA-435D-B31E-CA32D5046051}"/>
    <hyperlink ref="D94:D95" r:id="rId33" display="00200.002029/2025-36" xr:uid="{4A93FFF4-7581-4C0A-83E2-69BC54E28699}"/>
    <hyperlink ref="D102:D103" r:id="rId34" display="00200.002029/2025-36" xr:uid="{EF5F60FA-3E18-434F-AB36-4D6618B2B874}"/>
    <hyperlink ref="D184:D185" r:id="rId35" display="00200.002029/2025-36" xr:uid="{44C56F42-388D-40BB-B971-0C13735DA3C4}"/>
    <hyperlink ref="D240:D241" r:id="rId36" display="00200.002029/2025-36" xr:uid="{9949C9D0-08CD-4A9A-894B-8AD8AB8A69AA}"/>
    <hyperlink ref="D324:D325" r:id="rId37" display="00200.002029/2025-36" xr:uid="{B9209522-5136-4AE4-9D4E-216645922E3C}"/>
    <hyperlink ref="D12:D13" r:id="rId38" display="00200.002074/2025-91" xr:uid="{44304BBF-6F34-49A2-B576-C463E32BBACA}"/>
    <hyperlink ref="D22:D23" r:id="rId39" display="00200.002074/2025-91" xr:uid="{E3F7C55A-5015-49AB-BD0B-456A8D0B7308}"/>
    <hyperlink ref="D38:D39" r:id="rId40" display="00200.002074/2025-91" xr:uid="{4F8806B9-2767-4F22-91E8-9147BB1E4914}"/>
    <hyperlink ref="D50:D51" r:id="rId41" display="00200.002074/2025-91" xr:uid="{8B9B1180-DB56-4A07-9908-606312E12949}"/>
    <hyperlink ref="D54:D55" r:id="rId42" display="00200.002074/2025-91" xr:uid="{3F762F84-FCFD-403E-AFDC-15061F32C60C}"/>
    <hyperlink ref="D56:D57" r:id="rId43" display="00200.002074/2025-91" xr:uid="{3CF38747-AAF7-4009-893A-AA979FED111D}"/>
    <hyperlink ref="D146:D147" r:id="rId44" display="00200.002074/2025-91" xr:uid="{AC3702F8-EC4F-4170-8766-E71ED920C8B3}"/>
    <hyperlink ref="D148:D149" r:id="rId45" display="00200.002074/2025-91" xr:uid="{15043F7C-C4F8-4941-ABD8-EF9147547404}"/>
    <hyperlink ref="D200:D201" r:id="rId46" display="00200.002074/2025-91" xr:uid="{B05397F9-4DFB-4AB2-813A-F0B3E1B92782}"/>
    <hyperlink ref="D208:D209" r:id="rId47" display="00200.002074/2025-91" xr:uid="{FA56ACDF-95E5-4532-BF94-48FB8E7D24D7}"/>
    <hyperlink ref="D256:D257" r:id="rId48" display="00200.002074/2025-91" xr:uid="{45081768-76C3-4BD8-B729-703B796540B8}"/>
    <hyperlink ref="D280:D281" r:id="rId49" display="00200.002074/2025-91" xr:uid="{F6C666CF-E52F-413A-B929-E8798275007D}"/>
    <hyperlink ref="D304:D305" r:id="rId50" display="00200.002074/2025-91" xr:uid="{8CDF71BB-1F15-45E0-902F-E698A0F7F37C}"/>
    <hyperlink ref="D308:D309" r:id="rId51" display="00200.002074/2025-91" xr:uid="{28E12EBA-64D4-4665-BBF8-1B4BDE91C89E}"/>
    <hyperlink ref="D340:D341" r:id="rId52" display="00200.002074/2025-91" xr:uid="{0976F3D2-9235-4FF2-9909-296784D3C2D6}"/>
    <hyperlink ref="D356:D357" r:id="rId53" display="00200.002074/2025-91" xr:uid="{18345B61-8A0C-467D-9EF2-8598E69D54B8}"/>
    <hyperlink ref="D392:D393" r:id="rId54" display="00200.002074/2025-91" xr:uid="{EAD405DC-C5B0-471B-80BB-1CBD1D23DF30}"/>
    <hyperlink ref="D398:D399" r:id="rId55" display="00200.002074/2025-91" xr:uid="{7B567079-CD2B-42B7-BCA9-E757B7A195C7}"/>
    <hyperlink ref="D62:D63" r:id="rId56" display="00200.002164/2025-81" xr:uid="{93C875E2-100E-4E7E-99D4-2B8543E6E793}"/>
    <hyperlink ref="D90:D91" r:id="rId57" display="00200.002164/2025-81" xr:uid="{5ED625FF-AF2E-49B0-8C8B-DCEC4E6BB6CB}"/>
    <hyperlink ref="D86:D87" r:id="rId58" display="00200.002164/2025-81" xr:uid="{89D4050B-B89D-449A-B2B4-BABEE969AA44}"/>
    <hyperlink ref="D154:D155" r:id="rId59" display="00200.002164/2025-81" xr:uid="{026089DB-1E9A-4E2E-A277-5842F921113A}"/>
    <hyperlink ref="D194:D195" r:id="rId60" display="00200.002164/2025-81" xr:uid="{8A3C45CB-6B19-49AF-9B67-AB1E8A1D14E9}"/>
    <hyperlink ref="D220:D221" r:id="rId61" display="00200.002164/2025-81" xr:uid="{F92A51C5-95F7-40B9-A00B-397996AD9210}"/>
    <hyperlink ref="D244:D245" r:id="rId62" display="00200.002164/2025-81" xr:uid="{909E0492-C788-435E-AB22-D0F11E388EAF}"/>
    <hyperlink ref="D274:D275" r:id="rId63" display="00200.002164/2025-81" xr:uid="{68978E23-B25A-4708-8CDF-E674553284F1}"/>
    <hyperlink ref="D292:D293" r:id="rId64" display="00200.002164/2025-81" xr:uid="{7E414044-1AAC-4706-A9D6-3ADF8CBA5438}"/>
    <hyperlink ref="D326:D327" r:id="rId65" display="00200.002164/2025-81" xr:uid="{43600495-B578-407D-B605-8807FFF48311}"/>
    <hyperlink ref="D362:D363" r:id="rId66" display="00200.002164/2025-81" xr:uid="{7BF73757-3EB2-4934-9D8F-4ABADFF78276}"/>
    <hyperlink ref="D382:D383" r:id="rId67" display="00200.002164/2025-81" xr:uid="{0FB732B8-C453-4BEB-B51F-87786ADCDAC4}"/>
    <hyperlink ref="D34:D35" r:id="rId68" display="00200.002241/2025-01" xr:uid="{F0088784-B883-4FAA-BC56-AE0AFD24A93D}"/>
    <hyperlink ref="D140:D141" r:id="rId69" display="00200.002247/2025-71" xr:uid="{BAD4EB7B-7198-496A-B1C9-E01C195540B3}"/>
    <hyperlink ref="E12" r:id="rId70" display="https://intra.senado.leg.br/sigad/novo/protocolo/impressao.asp?area=processo&amp;cod_protocolo=4236444&amp;cod_frente_verso=&amp;cod_juntada=&amp;txt_funcao=" xr:uid="{094F6438-2AA2-4D63-97DE-F3063574DB27}"/>
    <hyperlink ref="E22" r:id="rId71" display="https://intra.senado.leg.br/sigad/novo/protocolo/impressao.asp?area=processo&amp;cod_protocolo=4236444&amp;cod_frente_verso=&amp;cod_juntada=&amp;txt_funcao=" xr:uid="{2D12D265-282C-4A0A-8895-80F74EFF1BB0}"/>
    <hyperlink ref="E38" r:id="rId72" display="https://intra.senado.leg.br/sigad/novo/protocolo/impressao.asp?area=processo&amp;cod_protocolo=4236444&amp;cod_frente_verso=&amp;cod_juntada=&amp;txt_funcao=" xr:uid="{35CC734C-0880-4A09-BAE2-38544194FE60}"/>
    <hyperlink ref="E50" r:id="rId73" display="https://intra.senado.leg.br/sigad/novo/protocolo/impressao.asp?area=processo&amp;cod_protocolo=4236444&amp;cod_frente_verso=&amp;cod_juntada=&amp;txt_funcao=" xr:uid="{B54D5F79-02CE-4053-97BC-C0C29EB68D68}"/>
    <hyperlink ref="E54" r:id="rId74" display="https://intra.senado.leg.br/sigad/novo/protocolo/impressao.asp?area=processo&amp;cod_protocolo=4236444&amp;cod_frente_verso=&amp;cod_juntada=&amp;txt_funcao=" xr:uid="{3B0FAB09-1260-4194-A50F-F8E4BD4F9B1F}"/>
    <hyperlink ref="E56" r:id="rId75" display="https://intra.senado.leg.br/sigad/novo/protocolo/impressao.asp?area=processo&amp;cod_protocolo=4236444&amp;cod_frente_verso=&amp;cod_juntada=&amp;txt_funcao=" xr:uid="{BF2D4C32-FEF1-4E52-B445-827D3AA874A9}"/>
    <hyperlink ref="E146" r:id="rId76" display="https://intra.senado.leg.br/sigad/novo/protocolo/impressao.asp?area=processo&amp;cod_protocolo=4236444&amp;cod_frente_verso=&amp;cod_juntada=&amp;txt_funcao=" xr:uid="{3EC1C1D1-AD3E-4D11-8E6C-194B8C310C05}"/>
    <hyperlink ref="E148" r:id="rId77" display="https://intra.senado.leg.br/sigad/novo/protocolo/impressao.asp?area=processo&amp;cod_protocolo=4236444&amp;cod_frente_verso=&amp;cod_juntada=&amp;txt_funcao=" xr:uid="{A8DBF951-F790-4964-91FD-014BED0A31AA}"/>
    <hyperlink ref="E200" r:id="rId78" display="https://intra.senado.leg.br/sigad/novo/protocolo/impressao.asp?area=processo&amp;cod_protocolo=4236444&amp;cod_frente_verso=&amp;cod_juntada=&amp;txt_funcao=" xr:uid="{B36C1E08-950D-46A1-81B3-DC26BF6329C2}"/>
    <hyperlink ref="E208" r:id="rId79" display="https://intra.senado.leg.br/sigad/novo/protocolo/impressao.asp?area=processo&amp;cod_protocolo=4236444&amp;cod_frente_verso=&amp;cod_juntada=&amp;txt_funcao=" xr:uid="{AE865B36-B395-45DC-A554-E20EAB51CF56}"/>
    <hyperlink ref="E256" r:id="rId80" display="https://intra.senado.leg.br/sigad/novo/protocolo/impressao.asp?area=processo&amp;cod_protocolo=4236444&amp;cod_frente_verso=&amp;cod_juntada=&amp;txt_funcao=" xr:uid="{AFECA1D8-E235-4EB7-96D4-7024AF01AC5B}"/>
    <hyperlink ref="E280" r:id="rId81" display="https://intra.senado.leg.br/sigad/novo/protocolo/impressao.asp?area=processo&amp;cod_protocolo=4236444&amp;cod_frente_verso=&amp;cod_juntada=&amp;txt_funcao=" xr:uid="{65726B68-01F5-4E8E-93EB-B22A9DB13D86}"/>
    <hyperlink ref="E304" r:id="rId82" display="https://intra.senado.leg.br/sigad/novo/protocolo/impressao.asp?area=processo&amp;cod_protocolo=4236444&amp;cod_frente_verso=&amp;cod_juntada=&amp;txt_funcao=" xr:uid="{89326EC6-1223-4B83-8C4B-486AF67D3E5C}"/>
    <hyperlink ref="E308" r:id="rId83" display="https://intra.senado.leg.br/sigad/novo/protocolo/impressao.asp?area=processo&amp;cod_protocolo=4236444&amp;cod_frente_verso=&amp;cod_juntada=&amp;txt_funcao=" xr:uid="{E8D557C1-FE80-48F4-A8EE-94C96640FC2A}"/>
    <hyperlink ref="E340" r:id="rId84" display="https://intra.senado.leg.br/sigad/novo/protocolo/impressao.asp?area=processo&amp;cod_protocolo=4236444&amp;cod_frente_verso=&amp;cod_juntada=&amp;txt_funcao=" xr:uid="{F8E0EF50-AFC1-4B5C-947C-2A9C88B89AE2}"/>
    <hyperlink ref="E356" r:id="rId85" display="https://intra.senado.leg.br/sigad/novo/protocolo/impressao.asp?area=processo&amp;cod_protocolo=4236444&amp;cod_frente_verso=&amp;cod_juntada=&amp;txt_funcao=" xr:uid="{68F2F521-2BB0-4382-9293-2F70247E2718}"/>
    <hyperlink ref="E392" r:id="rId86" display="https://intra.senado.leg.br/sigad/novo/protocolo/impressao.asp?area=processo&amp;cod_protocolo=4236444&amp;cod_frente_verso=&amp;cod_juntada=&amp;txt_funcao=" xr:uid="{3D5A3D5B-AE59-418C-B23E-7CBCC6309A38}"/>
    <hyperlink ref="E398" r:id="rId87" display="https://intra.senado.leg.br/sigad/novo/protocolo/impressao.asp?area=processo&amp;cod_protocolo=4236444&amp;cod_frente_verso=&amp;cod_juntada=&amp;txt_funcao=" xr:uid="{0A289085-0978-46A5-A42D-2CDBC2D01FDE}"/>
    <hyperlink ref="E20" r:id="rId88" display="https://intra.senado.leg.br/sigad/novo/protocolo/impressao.asp?cod_protocolo=4241693&amp;area=documento" xr:uid="{F83A1B36-858C-40B5-8CE7-52E237560B35}"/>
    <hyperlink ref="E62" r:id="rId89" display="https://intra.senado.leg.br/sigad/novo/protocolo/impressao.asp?cod_protocolo=4241698&amp;area=documento" xr:uid="{D396CD7E-EDE1-40EE-B320-ACD7609CFFCC}"/>
    <hyperlink ref="E86" r:id="rId90" display="https://intra.senado.leg.br/sigad/novo/protocolo/impressao.asp?cod_protocolo=4241698&amp;area=documento" xr:uid="{E53D7D60-3E21-4FFF-B70F-4FF8B51DB003}"/>
    <hyperlink ref="E90" r:id="rId91" display="https://intra.senado.leg.br/sigad/novo/protocolo/impressao.asp?cod_protocolo=4241698&amp;area=documento" xr:uid="{9601B745-95AF-4476-AB82-F075E8142DB8}"/>
    <hyperlink ref="E154" r:id="rId92" display="https://intra.senado.leg.br/sigad/novo/protocolo/impressao.asp?cod_protocolo=4241698&amp;area=documento" xr:uid="{B02D8113-0D71-4FC0-8A6F-F698AA144E59}"/>
    <hyperlink ref="E194" r:id="rId93" display="https://intra.senado.leg.br/sigad/novo/protocolo/impressao.asp?cod_protocolo=4241698&amp;area=documento" xr:uid="{8337C16A-90F2-4902-A113-1B438B75BA09}"/>
    <hyperlink ref="E220" r:id="rId94" display="https://intra.senado.leg.br/sigad/novo/protocolo/impressao.asp?cod_protocolo=4241698&amp;area=documento" xr:uid="{E079F432-0F61-4D75-B7BA-E051A19067B7}"/>
    <hyperlink ref="E244" r:id="rId95" display="https://intra.senado.leg.br/sigad/novo/protocolo/impressao.asp?cod_protocolo=4241698&amp;area=documento" xr:uid="{5FC00284-0A23-473B-9CCA-31028937FF7C}"/>
    <hyperlink ref="E274" r:id="rId96" display="https://intra.senado.leg.br/sigad/novo/protocolo/impressao.asp?cod_protocolo=4241698&amp;area=documento" xr:uid="{8DA52088-7A1E-4465-B571-EDDA21AD7CC3}"/>
    <hyperlink ref="E292" r:id="rId97" display="https://intra.senado.leg.br/sigad/novo/protocolo/impressao.asp?cod_protocolo=4241698&amp;area=documento" xr:uid="{84B9BCEC-0B05-4CA7-9B8E-0911DE07606F}"/>
    <hyperlink ref="E326" r:id="rId98" display="https://intra.senado.leg.br/sigad/novo/protocolo/impressao.asp?cod_protocolo=4241698&amp;area=documento" xr:uid="{9C6AA878-0DD9-47D3-A42B-1AE229193099}"/>
    <hyperlink ref="E362" r:id="rId99" display="https://intra.senado.leg.br/sigad/novo/protocolo/impressao.asp?cod_protocolo=4241698&amp;area=documento" xr:uid="{B6E657E9-3A00-46C9-93AC-6A719177C3F0}"/>
    <hyperlink ref="E382" r:id="rId100" display="https://intra.senado.leg.br/sigad/novo/protocolo/impressao.asp?cod_protocolo=4241698&amp;area=documento" xr:uid="{56588573-5FF8-4807-BDA2-1CD7C664CD4F}"/>
    <hyperlink ref="E34" r:id="rId101" display="https://intra.senado.leg.br/sigad/novo/protocolo/impressao.asp?cod_protocolo=4241700&amp;area=documento" xr:uid="{3D60732E-5CFA-43A1-99F2-7533A33B775F}"/>
    <hyperlink ref="E140" r:id="rId102" display="https://intra.senado.leg.br/sigad/novo/protocolo/impressao.asp?cod_protocolo=4241701&amp;area=documento" xr:uid="{86EF579D-B2BD-4229-B1F2-2AE61D4BAF08}"/>
    <hyperlink ref="E94" r:id="rId103" display="https://intra.senado.leg.br/sigad/novo/protocolo/impressao.asp?cod_protocolo=4241695&amp;area=documento" xr:uid="{4380A5A7-5DA2-4B9E-BC82-E89EB49147A4}"/>
    <hyperlink ref="E102" r:id="rId104" display="https://intra.senado.leg.br/sigad/novo/protocolo/impressao.asp?cod_protocolo=4241695&amp;area=documento" xr:uid="{EC31670B-9EF4-4FE5-A820-2E46DA9CBE0A}"/>
    <hyperlink ref="E184" r:id="rId105" display="https://intra.senado.leg.br/sigad/novo/protocolo/impressao.asp?cod_protocolo=4241695&amp;area=documento" xr:uid="{BDF87268-5123-4E15-87BE-4D2C08747835}"/>
    <hyperlink ref="E240" r:id="rId106" display="https://intra.senado.leg.br/sigad/novo/protocolo/impressao.asp?cod_protocolo=4241695&amp;area=documento" xr:uid="{4F1EFD9E-A0D6-4B4E-ADEE-D84584BB12F9}"/>
    <hyperlink ref="E324" r:id="rId107" display="https://intra.senado.leg.br/sigad/novo/protocolo/impressao.asp?cod_protocolo=4241695&amp;area=documento" xr:uid="{B566C5D1-20C2-43ED-90EF-15919F3968DC}"/>
    <hyperlink ref="E76" r:id="rId108" display="https://intra.senado.leg.br/sigad/novo/protocolo/impressao.asp?cod_protocolo=4244919&amp;area=documento" xr:uid="{212E99C6-6301-441E-9DF7-6F4736935D66}"/>
    <hyperlink ref="E18" r:id="rId109" display="https://intra.senado.leg.br/sigad/novo/protocolo/impressao.asp?cod_protocolo=4245944&amp;area=documento" xr:uid="{6EEFB337-5C09-4B20-924C-7B86FED91C8C}"/>
    <hyperlink ref="E124" r:id="rId110" display="https://intra.senado.leg.br/sigad/novo/protocolo/impressao.asp?cod_protocolo=4245916&amp;area=documento" xr:uid="{7F1757DC-E41E-405F-8FDE-5614A1BE7A6E}"/>
    <hyperlink ref="D74:D75" r:id="rId111" display="00200.003245/2025-07" xr:uid="{86F603E0-4C4A-48EE-9B8F-0DD4B67E7C55}"/>
    <hyperlink ref="D76" r:id="rId112" xr:uid="{72A9068A-9811-4BC4-B487-51E200DFDF5C}"/>
    <hyperlink ref="D77" r:id="rId113" xr:uid="{E02D9697-6FAE-4FED-9A7C-AB582F7899E9}"/>
    <hyperlink ref="D16:D17" r:id="rId114" display="00200.003357/2025-50" xr:uid="{F673E273-6AB9-4FC9-82EC-5A4DDCD56EA9}"/>
    <hyperlink ref="E16" r:id="rId115" display="https://intra.senado.leg.br/sigad/novo/protocolo/impressao.asp?area=processo&amp;cod_protocolo=4248465&amp;cod_frente_verso=&amp;cod_juntada=&amp;txt_funcao=" xr:uid="{006A79FB-2466-431D-83A1-A367B18E4928}"/>
    <hyperlink ref="D110:D111" r:id="rId116" display="00200.003642/2025-71" xr:uid="{A737A31A-A469-4B5C-AE3E-2D04508855A3}"/>
    <hyperlink ref="E104" r:id="rId117" display="https://intra.senado.leg.br/sigad/novo/protocolo/impressao.asp?area=processo&amp;cod_protocolo=4252338&amp;cod_frente_verso=&amp;cod_juntada=&amp;txt_funcao=" xr:uid="{A99311B4-50B5-4173-90C5-6EE050270925}"/>
    <hyperlink ref="D64:D65" r:id="rId118" display="00200.003769/2025-90" xr:uid="{1403A7CE-4D18-41E5-854F-716E66FB9CFD}"/>
    <hyperlink ref="E110" r:id="rId119" display="https://intra.senado.leg.br/sigad/novo/protocolo/impressao.asp?area=processo&amp;cod_protocolo=4252455&amp;cod_frente_verso=&amp;cod_juntada=&amp;txt_funcao=" xr:uid="{31D865A0-29FB-402E-BF52-602AC38DCBAC}"/>
    <hyperlink ref="E30" r:id="rId120" display="https://intra.senado.leg.br/sigad/novo/protocolo/impressao.asp?area=processo&amp;cod_protocolo=4227921&amp;cod_frente_verso=&amp;cod_juntada=&amp;txt_funcao=" xr:uid="{77CE846E-25DE-49D8-9AC9-CE8499C4F861}"/>
    <hyperlink ref="E28" r:id="rId121" display="https://intra.senado.leg.br/sigad/novo/protocolo/impressao.asp?area=processo&amp;cod_protocolo=4227921&amp;cod_frente_verso=&amp;cod_juntada=&amp;txt_funcao=" xr:uid="{DA472AF6-741B-41BA-9E79-6D9510C89975}"/>
    <hyperlink ref="D104:D105" r:id="rId122" display="00200.003585/2025-20" xr:uid="{C257C51E-1664-4437-871B-9C98BDC4C4BA}"/>
    <hyperlink ref="D124:D125" r:id="rId123" display="00200.002811/2025-55" xr:uid="{95CC0FFA-DA13-4DA2-ABF4-FC29C96180EA}"/>
    <hyperlink ref="D250:D251" r:id="rId124" display="00200.004224/225-09" xr:uid="{74D11E7A-355E-4F12-B94B-28261BFD64DD}"/>
    <hyperlink ref="D26:D27" r:id="rId125" display="00200.004195/2025-77" xr:uid="{3941B3E5-DFAB-43EB-B938-CFEAFBF33373}"/>
    <hyperlink ref="E74" r:id="rId126" display="https://intra.senado.leg.br/sigad/novo/protocolo/impressao.asp?area=processo&amp;cod_protocolo=4245855&amp;cod_frente_verso=&amp;cod_juntada=&amp;txt_funcao=" xr:uid="{587167DF-445A-44C9-88D8-D390E445A531}"/>
    <hyperlink ref="E250" r:id="rId127" display="https://intra.senado.leg.br/sigad/novo/protocolo/impressao.asp?area=processo&amp;cod_protocolo=4262721&amp;cod_frente_verso=&amp;cod_juntada=&amp;txt_funcao=" xr:uid="{BB4896DD-137D-40AC-B524-860E9407066A}"/>
    <hyperlink ref="E36" r:id="rId128" display="https://intra.senado.leg.br/sigad/novo/protocolo/impressao.asp?area=processo&amp;cod_protocolo=4264211&amp;cod_frente_verso=&amp;cod_juntada=&amp;txt_funcao=" xr:uid="{CA10C617-CB28-4738-AA59-4F99F732F1BC}"/>
    <hyperlink ref="D36:D37" r:id="rId129" display="00200.004169/2025-49" xr:uid="{B9F79131-0F8C-423C-AD1E-ABCFA9CD7382}"/>
    <hyperlink ref="E40" r:id="rId130" display="https://intra.senado.leg.br/sigad/novo/protocolo/impressao.asp?area=processo&amp;cod_protocolo=4268746&amp;cod_frente_verso=&amp;cod_juntada=&amp;txt_funcao=" xr:uid="{DE2EADBA-A47F-48EB-A9A7-38253F29E521}"/>
    <hyperlink ref="D262:D263" r:id="rId131" display="00200.004590/2025-50" xr:uid="{ABDE042F-48BC-4572-B260-EE79B3E046C0}"/>
    <hyperlink ref="D40:D41" r:id="rId132" display="00200.004590/2025-50" xr:uid="{8847FC8E-A8C8-4D10-B8B3-6939047EC222}"/>
    <hyperlink ref="D32:D33" r:id="rId133" display="00200.004231/2025-01" xr:uid="{DB8B56AF-CE4B-4EE2-A9EC-4BE97C0C0120}"/>
    <hyperlink ref="E32" r:id="rId134" display="https://intra.senado.leg.br/sigad/novo/protocolo/impressao.asp?area=processo&amp;cod_protocolo=4263004&amp;cod_frente_verso=&amp;cod_juntada=&amp;txt_funcao=" xr:uid="{8C22C016-1A0B-4BD4-B346-CB7A49B8FCFF}"/>
    <hyperlink ref="D48:D49" r:id="rId135" display="00200.004647/2025-11" xr:uid="{8D24BC3F-E34F-4ECE-9B3E-A45A73F23878}"/>
    <hyperlink ref="D58:D59" r:id="rId136" display="00200.004647/2025-11" xr:uid="{E0FED703-1B86-432B-963A-38D21F206B01}"/>
    <hyperlink ref="D84:D85" r:id="rId137" display="00200.004647/2025-11" xr:uid="{AE9333E1-6BDC-4009-8B2F-31C18E07D9AD}"/>
    <hyperlink ref="D136:D137" r:id="rId138" display="00200.004647/2025-11" xr:uid="{7C744689-6199-49AB-BD12-D8A882E79FDF}"/>
    <hyperlink ref="D144:D145" r:id="rId139" display="00200.004647/2025-11" xr:uid="{41DF69BF-1D03-4FDC-9253-A5EC4322B837}"/>
    <hyperlink ref="D170:D171" r:id="rId140" display="00200.004647/2025-11" xr:uid="{F6ACAED5-A803-43DF-95F6-EDC1C8F0CE9F}"/>
    <hyperlink ref="D178:D179" r:id="rId141" display="00200.004647/2025-11" xr:uid="{A09D8D8D-0C57-4BDA-BA83-B8D4C1885457}"/>
    <hyperlink ref="D188:D189" r:id="rId142" display="00200.004647/2025-11" xr:uid="{ED145FA9-95C1-4522-BA55-9135D268398B}"/>
    <hyperlink ref="D228:D229" r:id="rId143" display="00200.004647/2025-11" xr:uid="{6AD75918-B1BD-4C63-AC74-9AD9EE788EEF}"/>
    <hyperlink ref="D234:D235" r:id="rId144" display="00200.004647/2025-11" xr:uid="{B7E2FD98-4B41-4BAF-8CFE-9A6D06AF77F7}"/>
    <hyperlink ref="D238:D239" r:id="rId145" display="00200.004647/2025-11" xr:uid="{4CEF738A-8FC6-4D6B-B4EA-F969E7963DA0}"/>
    <hyperlink ref="D246:D247" r:id="rId146" display="00200.004647/2025-11" xr:uid="{171F1407-A8DF-446F-A730-8FE0B9EFF80C}"/>
    <hyperlink ref="D270:D271" r:id="rId147" display="00200.004647/2025-11" xr:uid="{A09F4BEF-79FB-4F16-9ED3-1CFC32805D2E}"/>
    <hyperlink ref="D328:D329" r:id="rId148" display="00200.004647/2025-11" xr:uid="{DE875E40-4EF2-4DB6-9B49-CA3D9846D41E}"/>
    <hyperlink ref="D378:D379" r:id="rId149" display="00200.004647/2025-11" xr:uid="{09C5F09B-A552-4EFD-8201-895C2F9EB8B0}"/>
    <hyperlink ref="D396:D397" r:id="rId150" display="00200.004647/2025-11" xr:uid="{AD614EDF-4C83-45F8-ABCC-1DEE61DC7E60}"/>
    <hyperlink ref="D46:D47" r:id="rId151" display="00200.004678/2025-71" xr:uid="{2E3FBCFC-926E-4D7C-A522-4452ABC80AFF}"/>
    <hyperlink ref="D68:D69" r:id="rId152" display="00200.004671/2025-90" xr:uid="{305EDB0A-96B0-408F-BB58-64D7FC822284}"/>
    <hyperlink ref="E48" r:id="rId153" display="https://intra.senado.leg.br/sigad/novo/protocolo/impressao.asp?area=processo&amp;cod_protocolo=4269913&amp;cod_frente_verso=&amp;cod_juntada=&amp;txt_funcao=" xr:uid="{CBC9A9B7-DF67-4977-B443-978FB36FA823}"/>
    <hyperlink ref="E58" r:id="rId154" display="https://intra.senado.leg.br/sigad/novo/protocolo/impressao.asp?area=processo&amp;cod_protocolo=4269913&amp;cod_frente_verso=&amp;cod_juntada=&amp;txt_funcao=" xr:uid="{11552ECF-224B-4DE7-A853-5091941EAB00}"/>
    <hyperlink ref="E84" r:id="rId155" display="https://intra.senado.leg.br/sigad/novo/protocolo/impressao.asp?area=processo&amp;cod_protocolo=4269913&amp;cod_frente_verso=&amp;cod_juntada=&amp;txt_funcao=" xr:uid="{E7D17FF4-498D-4346-A96A-778E4BD649BE}"/>
    <hyperlink ref="E136" r:id="rId156" display="https://intra.senado.leg.br/sigad/novo/protocolo/impressao.asp?area=processo&amp;cod_protocolo=4269913&amp;cod_frente_verso=&amp;cod_juntada=&amp;txt_funcao=" xr:uid="{8D1164A1-FB1D-40CD-81AB-370D91DB3D91}"/>
    <hyperlink ref="E144" r:id="rId157" display="https://intra.senado.leg.br/sigad/novo/protocolo/impressao.asp?area=processo&amp;cod_protocolo=4269913&amp;cod_frente_verso=&amp;cod_juntada=&amp;txt_funcao=" xr:uid="{FC693A4D-D3B6-42F7-A4D1-F4B80020DAC0}"/>
    <hyperlink ref="E170" r:id="rId158" display="https://intra.senado.leg.br/sigad/novo/protocolo/impressao.asp?area=processo&amp;cod_protocolo=4269913&amp;cod_frente_verso=&amp;cod_juntada=&amp;txt_funcao=" xr:uid="{DA513DEF-1BF4-476F-8E3C-120C7A4B1810}"/>
    <hyperlink ref="E178" r:id="rId159" display="https://intra.senado.leg.br/sigad/novo/protocolo/impressao.asp?area=processo&amp;cod_protocolo=4269913&amp;cod_frente_verso=&amp;cod_juntada=&amp;txt_funcao=" xr:uid="{58F85EC8-5169-4A25-AFEC-D9B8651F2F69}"/>
    <hyperlink ref="E188" r:id="rId160" display="https://intra.senado.leg.br/sigad/novo/protocolo/impressao.asp?area=processo&amp;cod_protocolo=4269913&amp;cod_frente_verso=&amp;cod_juntada=&amp;txt_funcao=" xr:uid="{C42F912F-1A62-4E9E-8A1F-9BB8ACABAA38}"/>
    <hyperlink ref="E228" r:id="rId161" display="https://intra.senado.leg.br/sigad/novo/protocolo/impressao.asp?area=processo&amp;cod_protocolo=4269913&amp;cod_frente_verso=&amp;cod_juntada=&amp;txt_funcao=" xr:uid="{40327D46-E7E8-4701-99E1-7322F83C2888}"/>
    <hyperlink ref="E234" r:id="rId162" display="https://intra.senado.leg.br/sigad/novo/protocolo/impressao.asp?area=processo&amp;cod_protocolo=4269913&amp;cod_frente_verso=&amp;cod_juntada=&amp;txt_funcao=" xr:uid="{973E9A9E-0B28-4D32-B13C-D28641C97A28}"/>
    <hyperlink ref="E238" r:id="rId163" display="https://intra.senado.leg.br/sigad/novo/protocolo/impressao.asp?area=processo&amp;cod_protocolo=4269913&amp;cod_frente_verso=&amp;cod_juntada=&amp;txt_funcao=" xr:uid="{23E9A524-A0A9-4849-BB16-5A36D675A299}"/>
    <hyperlink ref="E246" r:id="rId164" display="https://intra.senado.leg.br/sigad/novo/protocolo/impressao.asp?area=processo&amp;cod_protocolo=4269913&amp;cod_frente_verso=&amp;cod_juntada=&amp;txt_funcao=" xr:uid="{948B7901-3119-4D47-8F87-89474EB076F4}"/>
    <hyperlink ref="E270" r:id="rId165" display="https://intra.senado.leg.br/sigad/novo/protocolo/impressao.asp?area=processo&amp;cod_protocolo=4269913&amp;cod_frente_verso=&amp;cod_juntada=&amp;txt_funcao=" xr:uid="{5EC6E552-7D10-4332-A247-B48409D658E6}"/>
    <hyperlink ref="E328" r:id="rId166" display="https://intra.senado.leg.br/sigad/novo/protocolo/impressao.asp?area=processo&amp;cod_protocolo=4269913&amp;cod_frente_verso=&amp;cod_juntada=&amp;txt_funcao=" xr:uid="{E447E079-78E1-41C4-9DA8-158779C41F73}"/>
    <hyperlink ref="E368" r:id="rId167" display="https://intra.senado.leg.br/sigad/novo/protocolo/impressao.asp?area=processo&amp;cod_protocolo=4269913&amp;cod_frente_verso=&amp;cod_juntada=&amp;txt_funcao=" xr:uid="{F979747E-8A92-4566-9514-DD979B801D7E}"/>
    <hyperlink ref="E378" r:id="rId168" display="https://intra.senado.leg.br/sigad/novo/protocolo/impressao.asp?area=processo&amp;cod_protocolo=4269913&amp;cod_frente_verso=&amp;cod_juntada=&amp;txt_funcao=" xr:uid="{3F0DB6F0-3DB5-47BA-B202-8209A1BB7362}"/>
    <hyperlink ref="E396" r:id="rId169" display="https://intra.senado.leg.br/sigad/novo/protocolo/impressao.asp?area=processo&amp;cod_protocolo=4269913&amp;cod_frente_verso=&amp;cod_juntada=&amp;txt_funcao=" xr:uid="{CFE00FE1-E5D7-44EC-B3D4-86113FEEA7EC}"/>
    <hyperlink ref="E46" r:id="rId170" display="https://intra.senado.leg.br/sigad/novo/protocolo/impressao.asp?area=processo&amp;cod_protocolo=4270771&amp;cod_frente_verso=&amp;cod_juntada=&amp;txt_funcao=" xr:uid="{6B9BCB9D-316D-4A4F-9C29-5975BF03DF8A}"/>
    <hyperlink ref="E68" r:id="rId171" display="https://intra.senado.leg.br/sigad/novo/protocolo/impressao.asp?area=processo&amp;cod_protocolo=4270588&amp;cod_frente_verso=&amp;cod_juntada=&amp;txt_funcao=" xr:uid="{F66A6D85-63BA-4D65-A581-9D1D704863B9}"/>
    <hyperlink ref="D80:D81" r:id="rId172" display="00200.004768/2025-62" xr:uid="{4CC4AC99-54D7-42D4-93FB-0D908A16E061}"/>
    <hyperlink ref="D42:D43" r:id="rId173" display="00200.004843/2025-95" xr:uid="{ED5B99E6-DF6A-404F-82CB-009AD7B652DE}"/>
    <hyperlink ref="E80" r:id="rId174" display="https://intra.senado.leg.br/sigad/novo/protocolo/impressao.asp?area=processo&amp;cod_protocolo=4272112&amp;cod_frente_verso=&amp;cod_juntada=&amp;txt_funcao=" xr:uid="{1F307148-945D-4A18-A753-0B8C9A06C5A3}"/>
    <hyperlink ref="E42" r:id="rId175" display="https://intra.senado.leg.br/sigad/novo/protocolo/impressao.asp?area=processo&amp;cod_protocolo=4274089&amp;cod_frente_verso=&amp;cod_juntada=&amp;txt_funcao=" xr:uid="{906529F0-32D2-428E-9972-8BEE50E171BB}"/>
    <hyperlink ref="D44:D45" r:id="rId176" display="00200.004960/2025-59" xr:uid="{E7BCDE50-5C93-4B6F-ABF5-C1E08FCF0054}"/>
    <hyperlink ref="D82:D83" r:id="rId177" display="00200.004975/2025-17" xr:uid="{EB4EED56-3AE5-4452-9792-C026CB18012C}"/>
    <hyperlink ref="E82" r:id="rId178" display="https://intra.senado.leg.br/sigad/novo/protocolo/impressao.asp?area=processo&amp;cod_protocolo=4277686&amp;cod_frente_verso=&amp;cod_juntada=&amp;txt_funcao=" xr:uid="{6AC4DF5E-64D5-4E7F-A9E2-C1493ABC63A0}"/>
    <hyperlink ref="D70:D71" r:id="rId179" display="00200.004937/2025-64" xr:uid="{93C6EFC1-CC59-4A8D-A015-872E851192B8}"/>
    <hyperlink ref="E70" r:id="rId180" display="https://intra.senado.leg.br/sigad/novo/protocolo/impressao.asp?area=processo&amp;cod_protocolo=4276835&amp;cod_frente_verso=&amp;cod_juntada=&amp;txt_funcao=" xr:uid="{2AEA878D-87EB-417D-9226-01319708919D}"/>
    <hyperlink ref="E44" r:id="rId181" display="https://intra.senado.leg.br/sigad/novo/protocolo/impressao.asp?area=processo&amp;cod_protocolo=4279688&amp;cod_frente_verso=&amp;cod_juntada=&amp;txt_funcao=" xr:uid="{C6544AF2-3E7E-4CA7-8D72-F806251572B3}"/>
    <hyperlink ref="D112:D113" r:id="rId182" display="00200.005445/2025-96" xr:uid="{DEB21818-6EB0-40A5-8D1D-C94E1AEA393D}"/>
    <hyperlink ref="D52:D53" r:id="rId183" display="00200.004169/2025-49" xr:uid="{810BA120-AFC9-4329-97E1-5FE523932A9A}"/>
    <hyperlink ref="E52" r:id="rId184" display="https://intra.senado.leg.br/sigad/novo/protocolo/impressao.asp?cod_protocolo=4289676&amp;area=documento" xr:uid="{E6D5331D-A019-4210-84E2-51601403DF8E}"/>
    <hyperlink ref="E112" r:id="rId185" display="https://intra.senado.leg.br/sigad/novo/protocolo/impressao.asp?area=documento&amp;cod_protocolo=4289718" xr:uid="{1EE64C36-B61E-48B6-AF37-E830D8C76E2E}"/>
    <hyperlink ref="E64" r:id="rId186" display="https://intra.senado.leg.br/sigad/novo/protocolo/impressao.asp?area=processo&amp;cod_protocolo=4304053&amp;cod_frente_verso=&amp;cod_juntada=&amp;txt_funcao=" xr:uid="{D91DD8F5-B513-4AC4-8765-480E784AE259}"/>
    <hyperlink ref="E66" r:id="rId187" display="https://intra.senado.leg.br/sigad/novo/protocolo/impressao.asp?area=processo&amp;cod_protocolo=4304053&amp;cod_frente_verso=&amp;cod_juntada=&amp;txt_funcao=" xr:uid="{3B3B7256-855E-43D9-8B12-F4E3D06F8F34}"/>
    <hyperlink ref="D72:D73" r:id="rId188" display="00200.001313/2025-95" xr:uid="{0CB8A476-4DC8-44C1-A442-4FBF20656359}"/>
    <hyperlink ref="E72" r:id="rId189" display="https://intra.senado.leg.br/sigad/novo/protocolo/impressao.asp?area=processo&amp;cod_protocolo=4308489&amp;cod_frente_verso=&amp;cod_juntada=&amp;txt_funcao=" xr:uid="{3F6033AF-A11E-493B-8899-2A46FA2F478B}"/>
    <hyperlink ref="D78:D79" r:id="rId190" display="00200.006763/2025-74" xr:uid="{B4C5C498-7903-4162-ABFC-4A8DA207FAC7}"/>
    <hyperlink ref="E78" r:id="rId191" display="https://intra.senado.leg.br/sigad/novo/protocolo/impressao.asp?area=processo&amp;cod_protocolo=4324901&amp;cod_frente_verso=&amp;cod_juntada=&amp;txt_funcao=" xr:uid="{0181663E-15F8-41F8-9362-B013CFECF03B}"/>
    <hyperlink ref="D92:D93" r:id="rId192" display="00200.007347/2025-93" xr:uid="{4DF28CDC-88A7-4BB0-BF17-11CA70E31AAF}"/>
    <hyperlink ref="E118" r:id="rId193" display="https://intra.senado.leg.br/sigad/novo/protocolo/impressao.asp?area=processo&amp;cod_protocolo=4321952&amp;cod_frente_verso=&amp;cod_juntada=&amp;txt_funcao=" xr:uid="{99781E07-92FD-40BD-8778-3BD30BF852B8}"/>
    <hyperlink ref="E92" r:id="rId194" display="https://intra.senado.leg.br/sigad/novo/protocolo/impressao.asp?area=processo&amp;cod_protocolo=4321644&amp;cod_frente_verso=&amp;cod_juntada=&amp;txt_funcao=" xr:uid="{969ADCA8-5DAE-4B5B-BD18-BDF3B1C5A215}"/>
    <hyperlink ref="D96:D97" r:id="rId195" display="00200.007737/2025-63" xr:uid="{C3919450-7F8B-426E-B12E-675E8B4E4E1E}"/>
    <hyperlink ref="D98:D99" r:id="rId196" display="00200.007761/2025-01" xr:uid="{CD1E6DE0-1C6B-414A-BABE-C30FDEC01D0F}"/>
    <hyperlink ref="D142:D143" r:id="rId197" display="00200.007799/2025-75" xr:uid="{595F9204-449B-47D4-AC77-E951CB694EA2}"/>
    <hyperlink ref="E98" r:id="rId198" display="https://intra.senado.leg.br/sigad/novo/protocolo/impressao.asp?area=processo&amp;cod_protocolo=4333088&amp;cod_frente_verso=&amp;cod_juntada=&amp;txt_funcao=" xr:uid="{7344F5D3-F3FC-4F06-8D2A-F495AB0B6322}"/>
    <hyperlink ref="E96" r:id="rId199" display="https://intra.senado.leg.br/sigad/novo/protocolo/impressao.asp?area=processo&amp;cod_protocolo=4334300&amp;cod_frente_verso=&amp;cod_juntada=&amp;txt_funcao=" xr:uid="{964847D3-0CA6-47F2-90A2-249FF7CCA0F3}"/>
    <hyperlink ref="D88:D89" r:id="rId200" display="00200.008159/2025-82" xr:uid="{F2B64BF5-506A-4D1F-BA33-574048C8A846}"/>
    <hyperlink ref="E88" r:id="rId201" display="https://intra.senado.leg.br/sigad/novo/protocolo/impressao.asp?area=processo&amp;cod_protocolo=4335657&amp;cod_frente_verso=&amp;cod_juntada=&amp;txt_funcao=" xr:uid="{2ED8FBEF-0136-413C-B5D7-9A9B8CCD29BC}"/>
    <hyperlink ref="E106" r:id="rId202" display="https://intra.senado.leg.br/sigad/novo/protocolo/impressao.asp?area=processo&amp;cod_protocolo=4339847&amp;cod_frente_verso=&amp;cod_juntada=&amp;txt_funcao=" xr:uid="{38BF34EF-1FA7-4F09-973E-E5C8588D7D5A}"/>
    <hyperlink ref="D138:D139" r:id="rId203" display="00200.008642/2025-67" xr:uid="{82C34580-195B-4A4D-9494-F05E14F7AB31}"/>
    <hyperlink ref="D120:D121" r:id="rId204" display="00200.008700/2025-52" xr:uid="{924AD23D-BA9D-4411-9124-1A274E51A5AE}"/>
    <hyperlink ref="E120" r:id="rId205" display="https://intra.senado.leg.br/sigad/novo/protocolo/impressao.asp?area=processo&amp;cod_protocolo=4350304&amp;cod_frente_verso=&amp;cod_juntada=&amp;txt_funcao=" xr:uid="{3F90768A-DC5A-452B-A978-3BDFB9392F9E}"/>
    <hyperlink ref="E138" r:id="rId206" display="https://intra.senado.leg.br/sigad/novo/protocolo/impressao.asp?area=processo&amp;cod_protocolo=4350235&amp;cod_frente_verso=&amp;cod_juntada=&amp;txt_funcao=" xr:uid="{9AFC5AA1-D47C-4426-A233-5ADE2EC6C362}"/>
    <hyperlink ref="E108" r:id="rId207" display="https://intra.senado.leg.br/sigad/novo/protocolo/impressao.asp?area=processo&amp;cod_protocolo=4351914&amp;cod_frente_verso=&amp;cod_juntada=&amp;txt_funcao=" xr:uid="{C3259942-F68F-4769-834C-166CFCBFD5EE}"/>
    <hyperlink ref="E100" r:id="rId208" display="https://intra.senado.leg.br/sigad/novo/protocolo/impressao.asp?area=processo&amp;cod_protocolo=4351914&amp;cod_frente_verso=&amp;cod_juntada=&amp;txt_funcao=" xr:uid="{4170E8EC-DCAD-486F-A7DD-BAF65DC526FE}"/>
    <hyperlink ref="E126" r:id="rId209" display="https://intra.senado.leg.br/sigad/protocolo/impressao_arquivo.asp?cod_protocolo=4351929&amp;area=documento" xr:uid="{3A007D0C-4DFD-491B-9CE4-BF29AE0BD585}"/>
    <hyperlink ref="D126:D127" r:id="rId210" display="00200.008956/2025-60" xr:uid="{BE814C41-2651-4868-9F2C-E24F8402360B}"/>
    <hyperlink ref="E114" r:id="rId211" display="https://intra.senado.leg.br/sigad/novo/protocolo/impressao.asp?area=processo&amp;cod_protocolo=4348671&amp;cod_frente_verso=&amp;cod_juntada=&amp;txt_funcao=" xr:uid="{F109D3E1-A7EC-4A06-B21B-56E22C75D590}"/>
    <hyperlink ref="D158:D159" r:id="rId212" display="00200.009243/2025-13" xr:uid="{A7C6E84A-A07A-4736-A6DB-C0502F1258E4}"/>
    <hyperlink ref="D130:D131" r:id="rId213" display="00200.009243/2025-13" xr:uid="{B4A68901-397E-44FB-9F11-275F91935E75}"/>
    <hyperlink ref="D134:D135" r:id="rId214" display="00200.009243/2025-13" xr:uid="{22DB5AE0-4B5F-46EA-AA02-01FC121199C7}"/>
    <hyperlink ref="E130" r:id="rId215" display="https://intra.senado.leg.br/sigad/novo/protocolo/impressao.asp?cod_protocolo=4356242&amp;area=documento" xr:uid="{A3B97BB9-D6AA-4195-97AD-5B48761F9835}"/>
    <hyperlink ref="E134" r:id="rId216" display="https://intra.senado.leg.br/sigad/novo/protocolo/impressao.asp?cod_protocolo=4356242&amp;area=documento" xr:uid="{C573D0ED-7664-4FE1-88BC-8DFCAB046553}"/>
    <hyperlink ref="E158" r:id="rId217" display="https://intra.senado.leg.br/sigad/novo/protocolo/impressao.asp?cod_protocolo=4356242&amp;area=documento" xr:uid="{B801BCF0-8337-479E-9EE8-55A054324CAF}"/>
    <hyperlink ref="D150:D151" r:id="rId218" display="00200.009460/2025-11" xr:uid="{4B3DB5C2-E6BD-42A8-9347-9FFA963703BB}"/>
    <hyperlink ref="E150" r:id="rId219" display="https://intra.senado.leg.br/sigad/visualizador/PdfJs/web/viewer.html?cod_protocolo=4361230&amp;cod_pagina=&amp;cod_usuario=82996&amp;cod_orgao=9694&amp;token=OKHCHVF3XRDPT3Q" xr:uid="{9CA2A268-8CC7-4D38-BE93-8B50CABC77A0}"/>
    <hyperlink ref="D122:D123" r:id="rId220" display="00200.009031/2025-36" xr:uid="{A36D1AE7-774D-4175-8E5D-574F5E1DF7E1}"/>
    <hyperlink ref="E122" r:id="rId221" display="https://intra.senado.leg.br/sigad/novo/protocolo/impressao.asp?area=processo&amp;cod_protocolo=4362901&amp;cod_frente_verso=&amp;cod_juntada=&amp;txt_funcao=" xr:uid="{740293B5-D399-43B6-825B-B58F478A683A}"/>
    <hyperlink ref="D180:D181" r:id="rId222" display="00200.009608/2025-18" xr:uid="{FAB95B94-629C-45EF-9E3C-81B7766DFDFE}"/>
    <hyperlink ref="D128:D129" r:id="rId223" display="00200.009678/2025-68" xr:uid="{6EE11212-BE12-4C8A-85A9-3CA7AA0CEEAC}"/>
    <hyperlink ref="E180" r:id="rId224" display="https://intra.senado.leg.br/sigad/novo/protocolo/impressao.asp?area=processo&amp;cod_protocolo=4364865&amp;cod_frente_verso=&amp;cod_juntada=&amp;txt_funcao=" xr:uid="{77E6395A-40D8-4D68-BD18-1825B70382D0}"/>
    <hyperlink ref="D132:D133" r:id="rId225" display="00200.009879/2025-65" xr:uid="{CE82FF70-6688-4A9D-93AC-060FEA73B9D7}"/>
    <hyperlink ref="E128" r:id="rId226" display="https://intra.senado.leg.br/sigad/novo/protocolo/impressao.asp?area=processo&amp;cod_protocolo=4369348&amp;cod_frente_verso=&amp;cod_juntada=&amp;txt_funcao=" xr:uid="{941C20CF-CB0D-4FA8-8989-585E4F07BDC1}"/>
    <hyperlink ref="E132" r:id="rId227" display="https://intra.senado.leg.br/sigad/novo/protocolo/impressao.asp?area=processo&amp;cod_protocolo=4368768&amp;cod_frente_verso=&amp;cod_juntada=&amp;txt_funcao=" xr:uid="{D3A15790-BA54-4054-9092-14EF2AC53217}"/>
    <hyperlink ref="D156:D157" r:id="rId228" display="00200.009839/2025-13" xr:uid="{0214E925-A1FE-49E5-B36C-415BDA3154D9}"/>
    <hyperlink ref="E156" r:id="rId229" display="https://intra.senado.leg.br/sigad/novo/protocolo/impressao.asp?area=processo&amp;cod_protocolo=4372269&amp;cod_frente_verso=&amp;cod_juntada=&amp;txt_funcao=" xr:uid="{5C684631-76F9-4BA4-BCAE-A37210111519}"/>
    <hyperlink ref="D152:D153" r:id="rId230" display="00200.010582/2025-42" xr:uid="{ECD7D414-373F-4F98-BD01-6252F9B07858}"/>
    <hyperlink ref="E152" r:id="rId231" display="https://intra.senado.leg.br/sigad/novo/protocolo/impressao.asp?area=processo&amp;cod_protocolo=4386762&amp;cod_frente_verso=&amp;cod_juntada=&amp;txt_funcao=" xr:uid="{21919269-189D-460B-92A7-F9FA4DCCBC4A}"/>
    <hyperlink ref="I36" r:id="rId232" display="https://intra.senado.leg.br/sigad/novo/protocolo/impressao.asp?area=processo&amp;cod_protocolo=4300859&amp;cod_frente_verso=&amp;cod_juntada=&amp;txt_funcao=" xr:uid="{B782BF3F-19C2-47C5-85E3-C8C60A414AB3}"/>
    <hyperlink ref="I37" r:id="rId233" display="https://intra.senado.leg.br/sigad/novo/protocolo/impressao.asp?cod_protocolo=4310744&amp;area=documento" xr:uid="{9286A20A-6F04-4685-823F-D598C2913B05}"/>
    <hyperlink ref="I52" r:id="rId234" display="https://intra.senado.leg.br/sigad/novo/protocolo/impressao.asp?cod_protocolo=4296463&amp;area=documento" xr:uid="{1FD9B7EA-36A8-4652-A87B-2BA6F263456E}"/>
    <hyperlink ref="I53" r:id="rId235" display="https://intra.senado.leg.br/sigad/novo/protocolo/impressao.asp?cod_protocolo=4300767&amp;area=documento" xr:uid="{419CEAD0-7E99-4633-86F1-6BF91BD06B45}"/>
    <hyperlink ref="I78" r:id="rId236" display="https://intra.senado.leg.br/sigad/novo/protocolo/impressao.asp?cod_protocolo=4331621&amp;area=documento" xr:uid="{E03D6377-93BC-4BB0-B8EA-C8F93F7784C5}"/>
    <hyperlink ref="I79" r:id="rId237" display="https://intra.senado.leg.br/sigad/novo/protocolo/impressao.asp?cod_protocolo=4333334&amp;area=documento" xr:uid="{1BE8154B-D2BF-4CAA-A000-6299325D47ED}"/>
    <hyperlink ref="I130" r:id="rId238" display="https://intra.senado.leg.br/sigad/novo/protocolo/impressao.asp?cod_protocolo=4377272&amp;area=documento" xr:uid="{CE54F097-A567-4ADE-808A-3E3E02CE3D10}"/>
    <hyperlink ref="I131" r:id="rId239" display="https://intra.senado.leg.br/sigad/novo/protocolo/impressao.asp?cod_protocolo=4381592&amp;area=documento" xr:uid="{536FC54A-FC20-464D-8331-9B1756F40814}"/>
    <hyperlink ref="I134" r:id="rId240" display="https://intra.senado.leg.br/sigad/novo/protocolo/impressao.asp?cod_protocolo=4377286&amp;area=documento" xr:uid="{E3AE057C-53D9-4F35-AD94-118250D860C2}"/>
    <hyperlink ref="I135" r:id="rId241" display="https://intra.senado.leg.br/sigad/novo/protocolo/impressao.asp?cod_protocolo=4381592&amp;area=documento" xr:uid="{F4D87531-C5F9-460E-93E6-60FCE351A538}"/>
    <hyperlink ref="D254:D255" r:id="rId242" display="00200.011310/2025-60" xr:uid="{1810860F-D23B-4754-97CC-CBF31AC491A2}"/>
    <hyperlink ref="D162:D163" r:id="rId243" display="00200.011353/2025-45" xr:uid="{2BB5D6DD-8329-4752-85F9-66882075FB67}"/>
    <hyperlink ref="E254" r:id="rId244" display="https://intra.senado.leg.br/sigad/novo/protocolo/impressao.asp?area=processo&amp;cod_protocolo=4397689&amp;cod_frente_verso=&amp;cod_juntada=&amp;txt_funcao=" xr:uid="{824354EB-E862-42D5-BC7E-6CC837BC66BB}"/>
    <hyperlink ref="E160" r:id="rId245" display="https://intra.senado.leg.br/sigad/protocolo/arquivar.asp?cod_protocolo=4398259&amp;area=processo&amp;txt_funcao=sobrestar" xr:uid="{1F84BAEA-0A9E-4AE8-B2C0-482017E62336}"/>
    <hyperlink ref="D230:D231" r:id="rId246" display="00200.011575/2025-68" xr:uid="{79AF7503-F6D4-4978-84F4-671328BD9B66}"/>
    <hyperlink ref="D164:D165" r:id="rId247" display="00200.011744/2025-60" xr:uid="{56DAA222-A4CC-46DE-9661-27B08697A883}"/>
    <hyperlink ref="E164" r:id="rId248" display="https://intra.senado.leg.br/sigad/novo/protocolo/impressao.asp?area=processo&amp;cod_protocolo=4403997&amp;cod_frente_verso=&amp;cod_juntada=&amp;txt_funcao=" xr:uid="{60CCAD8C-C0E4-463D-B7F0-8444D1EDF259}"/>
    <hyperlink ref="E230" r:id="rId249" display="https://intra.senado.leg.br/sigad/novo/protocolo/impressao.asp?area=processo&amp;cod_protocolo=4404006&amp;cod_frente_verso=&amp;cod_juntada=&amp;txt_funcao=" xr:uid="{3BE7A0ED-9C54-469F-AC12-068E3FD9AED8}"/>
    <hyperlink ref="D166:D167" r:id="rId250" display="00200.011899/2025-04" xr:uid="{3D4DD540-9C51-4AD1-9ED4-F96208625578}"/>
    <hyperlink ref="D286:D287" r:id="rId251" display="00200.011833/2025-14" xr:uid="{1648BA7B-AA80-4100-BB50-1048406D9323}"/>
    <hyperlink ref="E286" r:id="rId252" display="https://intra.senado.leg.br/sigad/novo/protocolo/impressao.asp?area=processo&amp;cod_protocolo=4404676&amp;cod_frente_verso=&amp;cod_juntada=&amp;txt_funcao=" xr:uid="{78C40CA4-C893-46F5-AD03-E53BEF9F2BCB}"/>
    <hyperlink ref="E166" r:id="rId253" display="https://intra.senado.leg.br/sigad/novo/protocolo/impressao.asp?area=processo&amp;cod_protocolo=4406871&amp;cod_frente_verso=&amp;cod_juntada=&amp;txt_funcao=" xr:uid="{0EBDDA42-09AC-4E4F-A1AB-8FF2818C2B95}"/>
    <hyperlink ref="D168:D169" r:id="rId254" display="00200.011988/2025-42" xr:uid="{F82FA29D-4B97-4420-89B1-7F36E9243B78}"/>
    <hyperlink ref="E168" r:id="rId255" display="https://intra.senado.leg.br/sigad/novo/protocolo/impressao.asp?area=processo&amp;cod_protocolo=4406546&amp;cod_frente_verso=&amp;cod_juntada=&amp;txt_funcao=" xr:uid="{1E7B8A21-7D64-428C-8428-0A0146856D3C}"/>
    <hyperlink ref="D176:D177" r:id="rId256" display="00200.012568/2025-83" xr:uid="{BE38CD77-A4BF-410D-8FFF-FF5F3EA4E23B}"/>
    <hyperlink ref="D172:D173" r:id="rId257" display="00200.012610/2025-66" xr:uid="{9094FCFF-8489-4D58-A0DB-09412198A3BB}"/>
    <hyperlink ref="D212:D213" r:id="rId258" display="00200.022124/2024-75" xr:uid="{B4C06FD0-66D6-4C62-B38D-272737F4BFA9}"/>
    <hyperlink ref="D210:D211" r:id="rId259" display="00200.012498/2025-63" xr:uid="{2F556564-0FA2-451F-B229-5DAF502BF2BD}"/>
    <hyperlink ref="E210" r:id="rId260" display="https://intra.senado.leg.br/sigad/novo/protocolo/impressao.asp?area=processo&amp;cod_protocolo=4415708&amp;cod_frente_verso=&amp;cod_juntada=&amp;txt_funcao=" xr:uid="{A64ABD1C-5D7E-4860-8745-7D465FA75067}"/>
    <hyperlink ref="E176" r:id="rId261" display="https://intra.senado.leg.br/sigad/novo/protocolo/impressao.asp?area=processo&amp;cod_protocolo=4416710&amp;cod_frente_verso=&amp;cod_juntada=&amp;txt_funcao=" xr:uid="{618D6326-119D-4D4C-991C-4B9F11416DE3}"/>
    <hyperlink ref="E172" r:id="rId262" display="https://intra.senado.leg.br/sigad/novo/protocolo/impressao.asp?area=processo&amp;cod_protocolo=4417988&amp;cod_frente_verso=&amp;cod_juntada=&amp;txt_funcao=" xr:uid="{DEC2C4D5-51AD-4BF5-83A0-72098D56DB18}"/>
    <hyperlink ref="D174:D175" r:id="rId263" display="00200.012950/2025-97" xr:uid="{C1588590-1B29-427A-9005-72C0AC1A6062}"/>
    <hyperlink ref="E174" r:id="rId264" display="https://intra.senado.leg.br/sigad/novo/protocolo/impressao.asp?area=processo&amp;cod_protocolo=4423392&amp;cod_frente_verso=&amp;cod_juntada=&amp;txt_funcao=" xr:uid="{35665229-4084-42E4-AC37-58C4039DB0DB}"/>
    <hyperlink ref="D258:D259" r:id="rId265" display="00200.013103/2025-40" xr:uid="{4A3F297D-D91D-47E3-B8B8-624260633B9E}"/>
    <hyperlink ref="E262" r:id="rId266" display="https://intra.senado.leg.br/sigad/novo/protocolo/impressao.asp?area=processo&amp;cod_protocolo=4268746&amp;cod_frente_verso=&amp;cod_juntada=&amp;txt_funcao=" xr:uid="{92B6CE39-A72E-4FF5-891B-83140E017D12}"/>
    <hyperlink ref="D186:D187" r:id="rId267" display="00200.013033/2025-20" xr:uid="{CB16B00A-4819-4C8E-9FAF-720473C66296}"/>
    <hyperlink ref="D192:D193" r:id="rId268" display="00200.013033/2025-20" xr:uid="{A13ACF86-4207-4826-95A8-2292ED4F728E}"/>
    <hyperlink ref="D216:D217" r:id="rId269" display="00200.013033/2025-20" xr:uid="{B33ADA15-A288-4866-A3EC-DBAC778E51C9}"/>
    <hyperlink ref="D260:D261" r:id="rId270" display="00200.004590/2025-50" xr:uid="{6DCDF057-A61B-4D2E-92E1-5B095B21262A}"/>
    <hyperlink ref="D206:D207" r:id="rId271" display="00200.013416/2025-06" xr:uid="{D6F67B4A-F452-4921-9A5E-8A0D11A9BA44}"/>
    <hyperlink ref="E192" r:id="rId272" display="https://intra.senado.leg.br/sigad/visualizador/PdfJs/web/viewer.html?cod_protocolo=4434850&amp;cod_pagina=&amp;cod_usuario=76880&amp;cod_orgao=9694&amp;token=0EDF2SUAW7023EF" xr:uid="{4555ACB2-A2F0-484B-A3DF-3E61A3B1E9F4}"/>
    <hyperlink ref="E186" r:id="rId273" display="https://intra.senado.leg.br/sigad/visualizador/PdfJs/web/viewer.html?cod_protocolo=4434850&amp;cod_pagina=&amp;cod_usuario=76880&amp;cod_orgao=9694&amp;token=0EDF2SUAW7023EF" xr:uid="{BDA330D2-4BEA-4BF4-887F-CBF64E2353C8}"/>
    <hyperlink ref="E216" r:id="rId274" display="https://intra.senado.leg.br/sigad/visualizador/PdfJs/web/viewer.html?cod_protocolo=4434850&amp;cod_pagina=&amp;cod_usuario=76880&amp;cod_orgao=9694&amp;token=0EDF2SUAW7023EF" xr:uid="{5C4FA290-A2B1-44C6-BDF5-C8161994D10D}"/>
    <hyperlink ref="E196" r:id="rId275" display="https://intra.senado.leg.br/sigad/visualizador/PdfJs/web/viewer.html?cod_protocolo=4437034&amp;cod_pagina=&amp;cod_usuario=76880&amp;cod_orgao=9694&amp;token=E17T6GVD9FH2WEV" xr:uid="{DF690FC8-37B0-4816-B3F4-4A4A8A4CEE75}"/>
    <hyperlink ref="E206" r:id="rId276" display="https://intra.senado.leg.br/sigad/visualizador/PdfJs/web/viewer.html?cod_protocolo=4437214&amp;cod_pagina=&amp;cod_usuario=76880&amp;cod_orgao=9694&amp;token=UBBJUSJ6F32VSP6" xr:uid="{049221C5-06F7-4ECD-9289-1026DE2F7953}"/>
    <hyperlink ref="E258" r:id="rId277" display="https://intra.senado.leg.br/sigad/visualizador/PdfJs/web/viewer.html?cod_protocolo=4437250&amp;cod_pagina=&amp;cod_usuario=76880&amp;cod_orgao=9694&amp;token=GPEFVROKM99T495" xr:uid="{0F7BC04C-A485-4994-AA3C-171D97FE207C}"/>
    <hyperlink ref="D198:D199" r:id="rId278" display="00200.013783/2025-00" xr:uid="{81DCEFD5-D7D4-4905-872E-67D459F3D589}"/>
    <hyperlink ref="E198" r:id="rId279" display="https://intra.senado.leg.br/sigad/visualizador/PdfJs/web/viewer.html?cod_protocolo=4438810&amp;cod_pagina=&amp;cod_usuario=76880&amp;cod_orgao=9694&amp;token=6HH1HTUYTHYL6YC" xr:uid="{F4EC410A-63EB-411B-9DE3-FEE8251BCA32}"/>
    <hyperlink ref="E260" r:id="rId280" display="https://intra.senado.leg.br/sigad/visualizador/PdfJs/web/viewer.html?cod_protocolo=4438542&amp;cod_pagina=&amp;cod_usuario=76880&amp;cod_orgao=9694&amp;token=849WBU6W9I07EB6" xr:uid="{13A51661-3D95-4F62-AD33-99C31762DA15}"/>
    <hyperlink ref="D222:D223" r:id="rId281" display="00200.013689/2025-42" xr:uid="{4D828B73-A8FD-4C26-A0B9-CB8123509FD5}"/>
    <hyperlink ref="D202:D203" r:id="rId282" display="00200.013017/2025-37" xr:uid="{3E89302B-5D20-42DA-AA28-D8D91E4AD2A7}"/>
    <hyperlink ref="D204:D205" r:id="rId283" display="00200.013017/2025-37" xr:uid="{CC46D640-E3DB-4EA3-8C3D-DFC53FE4D5A3}"/>
    <hyperlink ref="D214:D215" r:id="rId284" display="00200.012856/2025-38" xr:uid="{0EC162CB-29B2-4972-BEB7-2056C636E45C}"/>
    <hyperlink ref="E214" r:id="rId285" display="https://intra.senado.leg.br/sigad/novo/protocolo/impressao.asp?area=processo&amp;cod_protocolo=4421604&amp;cod_frente_verso=&amp;cod_juntada=&amp;txt_funcao=" xr:uid="{7C442F8D-B7B7-4A56-A713-D6DEC962092D}"/>
    <hyperlink ref="E222" r:id="rId286" display="https://intra.senado.leg.br/sigad/novo/protocolo/impressao.asp?area=processo&amp;cod_protocolo=4443616&amp;cod_frente_verso=&amp;cod_juntada=&amp;txt_funcao=" xr:uid="{81B23408-C62F-43F2-BDBF-46C0CAA79CD6}"/>
    <hyperlink ref="D218:D219" r:id="rId287" display="00200.013916/2025-30" xr:uid="{24C6FAEC-EDF1-46DF-9EF7-2E2E418F3A90}"/>
    <hyperlink ref="E218" r:id="rId288" display="https://intra.senado.leg.br/sigad/novo/protocolo/impressao.asp?area=processo&amp;cod_protocolo=4443609&amp;cod_frente_verso=&amp;cod_juntada=&amp;txt_funcao=" xr:uid="{796A439E-D8F6-49A6-925F-D523655D5080}"/>
    <hyperlink ref="E248" r:id="rId289" display="https://intra.senado.leg.br/sigad/novo/protocolo/impressao.asp?cod_protocolo=4446197" xr:uid="{0572D060-DC43-4FD9-BBE6-997B7C896B60}"/>
    <hyperlink ref="E204" r:id="rId290" display="https://intra.senado.leg.br/sigad/visualizador/PdfJs/web/viewer.html?cod_protocolo=4443155&amp;cod_pagina=&amp;cod_usuario=76880&amp;cod_orgao=9694&amp;token=MLKKJNAW7X1653X" xr:uid="{999AFCF1-BF7F-4E71-BB35-E32CBDC2ECCE}"/>
    <hyperlink ref="D224:D225" r:id="rId291" display="00200.014218/2025-51" xr:uid="{BF5A46BF-6C99-43F7-B45A-1F541F6ACB57}"/>
    <hyperlink ref="E224" r:id="rId292" display="https://intra.senado.leg.br/sigad/novo/protocolo/impressao.asp?cod_protocolo=4454933&amp;area=documento" xr:uid="{A31F603F-CF06-4E09-AC5F-8D373D985882}"/>
    <hyperlink ref="D344:D345" r:id="rId293" display="00200.014546/2025-58" xr:uid="{286AF7F9-8EA1-4131-AC62-68E08B2B42A9}"/>
    <hyperlink ref="D232:D233" r:id="rId294" display="00200.015061/2025-81" xr:uid="{1DC13DAD-4F8C-4569-BD54-318A7EDAFA5B}"/>
    <hyperlink ref="D236:D237" r:id="rId295" display="00200.015061/2025-81" xr:uid="{BEB6B339-16CB-4AF8-8FB0-2D9104B6590D}"/>
    <hyperlink ref="D264:D265" r:id="rId296" display="00200.015061/2025-81" xr:uid="{B0E3EF30-3C75-40AB-B365-22BF5AB436D0}"/>
    <hyperlink ref="D272:D273" r:id="rId297" display="00200.015061/2025-81" xr:uid="{EF4ECC83-7558-47D3-B396-F45F5072F1D5}"/>
    <hyperlink ref="D282:D283" r:id="rId298" display="00200.015061/2025-81" xr:uid="{BBBA2C86-BA08-4B44-96C9-9CC7EA102E8F}"/>
    <hyperlink ref="D300:D301" r:id="rId299" display="00200.015061/2025-81" xr:uid="{D8D7DA6D-BFEC-45AD-BC23-63B8D6202699}"/>
    <hyperlink ref="D288:D289" r:id="rId300" display="00200.014876/2025-43" xr:uid="{0717E2C6-A9DC-4B4D-9AB5-AC7678F6C501}"/>
    <hyperlink ref="E288" r:id="rId301" display="https://intra.senado.leg.br/sigad/novo/protocolo/impressao.asp?area=processo&amp;cod_protocolo=4469356&amp;cod_frente_verso=&amp;cod_juntada=&amp;txt_funcao=" xr:uid="{BB1EBDBB-954F-441B-BC67-8E161126D562}"/>
    <hyperlink ref="E232" r:id="rId302" display="https://intra.senado.leg.br/sigad/novo/protocolo/impressao.asp?area=processo&amp;cod_protocolo=4469345&amp;cod_frente_verso=&amp;cod_juntada=&amp;txt_funcao=" xr:uid="{F322D8B1-0BBD-4FAB-94AD-7CCE1023BE0B}"/>
    <hyperlink ref="E236" r:id="rId303" display="https://intra.senado.leg.br/sigad/novo/protocolo/impressao.asp?area=processo&amp;cod_protocolo=4469345&amp;cod_frente_verso=&amp;cod_juntada=&amp;txt_funcao=" xr:uid="{4A110632-2760-4E72-A54C-02BEEF6013BB}"/>
    <hyperlink ref="E264" r:id="rId304" display="https://intra.senado.leg.br/sigad/novo/protocolo/impressao.asp?area=processo&amp;cod_protocolo=4469345&amp;cod_frente_verso=&amp;cod_juntada=&amp;txt_funcao=" xr:uid="{9BC53A1C-911D-4E3C-A0E6-22E8FC771A5B}"/>
    <hyperlink ref="E272" r:id="rId305" display="https://intra.senado.leg.br/sigad/novo/protocolo/impressao.asp?area=processo&amp;cod_protocolo=4469345&amp;cod_frente_verso=&amp;cod_juntada=&amp;txt_funcao=" xr:uid="{CB5F107D-F8B0-4820-8F2C-6CA7C7D64668}"/>
    <hyperlink ref="E282" r:id="rId306" display="https://intra.senado.leg.br/sigad/novo/protocolo/impressao.asp?area=processo&amp;cod_protocolo=4469345&amp;cod_frente_verso=&amp;cod_juntada=&amp;txt_funcao=" xr:uid="{1E8A771B-4BDF-417E-B293-E2134683E24D}"/>
    <hyperlink ref="E300" r:id="rId307" display="https://intra.senado.leg.br/sigad/novo/protocolo/impressao.asp?area=processo&amp;cod_protocolo=4469345&amp;cod_frente_verso=&amp;cod_juntada=&amp;txt_funcao=" xr:uid="{A4D8F7E6-D60D-4370-844A-4746FCA0FF0E}"/>
    <hyperlink ref="D226:D227" r:id="rId308" display="00200.014586/2025-08" xr:uid="{71CCC14A-CCAC-4E69-87E6-86A9B29B810F}"/>
    <hyperlink ref="E226" r:id="rId309" display="https://intra.senado.leg.br/sigad/novo/protocolo/impressao.asp?area=processo&amp;cod_protocolo=4470066&amp;cod_frente_verso=&amp;cod_juntada=&amp;txt_funcao=" xr:uid="{41CF37B7-8FB9-43BE-8E70-21861DB09700}"/>
    <hyperlink ref="D316:D317" r:id="rId310" display="00200.015536/2025-30" xr:uid="{D06D70D7-6836-4F4E-B2B6-B69213CA3B51}"/>
    <hyperlink ref="D318:D319" r:id="rId311" display="00200.015172/2025-98" xr:uid="{6103B253-49DD-4CE6-9344-D8D3FAB409C4}"/>
    <hyperlink ref="D334:D335" r:id="rId312" display=" 00200.014697/2025-14" xr:uid="{E09F056B-A0E9-4CCB-81B6-71F5EEF7DF20}"/>
    <hyperlink ref="D266:D267" r:id="rId313" display="00200.015790/2025-38" xr:uid="{C5C40246-A41A-41A7-A8AE-2F235F91F00B}"/>
    <hyperlink ref="D268:D269" r:id="rId314" display="00200.015742/2025-40" xr:uid="{5155DC4D-58D6-489D-91A9-A572FA0B3797}"/>
    <hyperlink ref="E266" r:id="rId315" display="https://intra.senado.leg.br/sigad/novo/protocolo/impressao.asp?area=processo&amp;cod_protocolo=4483965&amp;cod_frente_verso=&amp;cod_juntada=&amp;txt_funcao=" xr:uid="{00C869FF-D229-4F89-89B4-A448F4860BB0}"/>
    <hyperlink ref="E268" r:id="rId316" display="https://intra.senado.leg.br/sigad/novo/protocolo/impressao.asp?area=processo&amp;cod_protocolo=4483968&amp;cod_frente_verso=&amp;cod_juntada=&amp;txt_funcao=" xr:uid="{8A147215-F610-457F-97D4-79F65E9A0287}"/>
    <hyperlink ref="E252" r:id="rId317" display="https://intra.senado.leg.br/sigad/protocolo/impressao_arquivo.asp?cod_protocolo=4487853&amp;area=documento" xr:uid="{027701F4-2405-4A42-8840-2CAB8244FC97}"/>
    <hyperlink ref="D330:D331" r:id="rId318" display="00200.015709/2025-10" xr:uid="{C937B0CF-B516-499A-BD63-23981AD9C84E}"/>
    <hyperlink ref="E330" r:id="rId319" display="https://intra.senado.leg.br/sigad/novo/protocolo/impressao.asp?area=processo&amp;cod_protocolo=4488026&amp;cod_frente_verso=&amp;cod_juntada=&amp;txt_funcao=" xr:uid="{D8ED2A0A-CA30-47FE-BE94-BA8618B189D8}"/>
    <hyperlink ref="D374:D375" r:id="rId320" display="00200.015709/2025-10" xr:uid="{2ECE9E7F-D1E7-4232-AFA3-021F185A635C}"/>
    <hyperlink ref="E374" r:id="rId321" display="https://intra.senado.leg.br/sigad/novo/protocolo/impressao.asp?area=processo&amp;cod_protocolo=4488026&amp;cod_frente_verso=&amp;cod_juntada=&amp;txt_funcao=" xr:uid="{C6300170-BE59-4321-ADF0-73C154E850E3}"/>
    <hyperlink ref="D252:D253" r:id="rId322" display="00200.002164/2025-81 " xr:uid="{8FADC66B-EF50-42E4-99F6-11F3CD8B683D}"/>
    <hyperlink ref="E298" r:id="rId323" display="https://intra.senado.leg.br/sigad/novo/protocolo/impressao.asp?cod_protocolo=4491726" xr:uid="{8601BA8C-11A4-49D9-9367-6D72D3FF0FE8}"/>
    <hyperlink ref="D298:D299" r:id="rId324" display="00200.016451/2025-79" xr:uid="{803C43A6-4C49-4E4B-93AA-F68A8F030B34}"/>
    <hyperlink ref="D278:D279" r:id="rId325" display="00200.016668/2025-89 " xr:uid="{875A0061-2E91-4257-A073-B4ADF10634F5}"/>
    <hyperlink ref="E334" r:id="rId326" display="https://intra.senado.leg.br/sigad/visualizador/PdfJs/web/viewer.html?cod_protocolo=4496720&amp;cod_pagina=&amp;cod_usuario=76880&amp;cod_orgao=9694&amp;token=5W632YWER1CJ4XW" xr:uid="{06CD65C5-7053-4FF9-AC0B-65F694BCC250}"/>
    <hyperlink ref="E306" r:id="rId327" display="https://intra.senado.leg.br/sigad/visualizador/PdfJs/web/viewer.html?cod_protocolo=4496789&amp;cod_pagina=&amp;cod_usuario=76880&amp;cod_orgao=9694&amp;token=H9WISM8JT8IQJL8" xr:uid="{5F6923E0-3173-441A-8A2A-0D333B64A04A}"/>
    <hyperlink ref="E276" r:id="rId328" display="https://intra.senado.leg.br/sigad/visualizador/PdfJs/web/viewer.html?cod_protocolo=4496620&amp;cod_pagina=&amp;cod_usuario=76880&amp;cod_orgao=9694&amp;token=WE940VOC05JAXAG" xr:uid="{1626C37D-5A9C-4834-A3F6-7FA59111D744}"/>
    <hyperlink ref="D276:D277" r:id="rId329" display="00200.016737/2025-54" xr:uid="{808B14D8-A1E9-4F33-BE63-0E488AE5443E}"/>
    <hyperlink ref="D296:D297" r:id="rId330" display="00200.015100/2025-41 " xr:uid="{BB287BD8-89BA-4D2A-AF08-764AB66830A8}"/>
    <hyperlink ref="D294:D295" r:id="rId331" display="00200.015100/2025-41 " xr:uid="{86C7A8D7-B789-4193-8CAC-4F4D9BF4397B}"/>
    <hyperlink ref="E294" r:id="rId332" display="https://intra.senado.leg.br/sigad/visualizador/PdfJs/web/viewer.html?cod_protocolo=4465807&amp;cod_pagina=&amp;cod_usuario=76880&amp;cod_orgao=9694&amp;token=UVYHBQR4KQXMA3P" xr:uid="{FA6D2B15-8D21-48CD-AC58-83F00D5D8167}"/>
    <hyperlink ref="E278" r:id="rId333" display="https://intra.senado.leg.br/sigad/visualizador/PdfJs/web/viewer.html?cod_protocolo=4497565&amp;cod_pagina=&amp;cod_usuario=76880&amp;cod_orgao=9694&amp;token=T0EYQRR2VCDJYTY" xr:uid="{CC05C58E-F435-4519-915D-0E7C4F3DCDC3}"/>
    <hyperlink ref="E296" r:id="rId334" display="https://intra.senado.leg.br/sigad/visualizador/PdfJs/web/viewer.html?cod_protocolo=4499739&amp;cod_pagina=&amp;cod_usuario=76880&amp;cod_orgao=9694&amp;token=KUMYNDXJMPJ8APS" xr:uid="{A3B836B7-4D88-44C3-AF08-F3A62B9F3E17}"/>
    <hyperlink ref="E284" r:id="rId335" display="00100.173818/2025-89" xr:uid="{9A1D632C-5C74-4C55-9197-07700E6D1E39}"/>
    <hyperlink ref="E302" r:id="rId336" display="00100.173818/2025-89" xr:uid="{04334F97-6284-460B-BEDA-9531BB009CD4}"/>
    <hyperlink ref="D380:D381" r:id="rId337" display="00200.016997/2025-20" xr:uid="{CFAC510E-7287-4AEC-B9BF-DEF250CDA655}"/>
    <hyperlink ref="D290:D291" r:id="rId338" display="00200.016685/2025-16" xr:uid="{0BCE4139-5959-4FA7-808C-76C78CF6C397}"/>
    <hyperlink ref="E290" r:id="rId339" xr:uid="{24756C09-3425-4CFD-A74B-B35B2DCC4F0E}"/>
    <hyperlink ref="D314:D315" r:id="rId340" display="00200.017453/2025-85" xr:uid="{DE183DEC-FF1E-4267-AE03-6731E36D600F}"/>
    <hyperlink ref="D338:D339" r:id="rId341" display="00200.017453/2025-85" xr:uid="{9CB879E7-3EB8-4FFB-A194-0B9C93D1D743}"/>
    <hyperlink ref="D390:D391" r:id="rId342" display="00200.017611/2025-05" xr:uid="{0E2F2B66-C5C3-413B-98EC-1B3CB5EED47E}"/>
    <hyperlink ref="E344" r:id="rId343" display="https://intra.senado.leg.br/sigad/novo/protocolo/impressao.asp?area=processo&amp;cod_protocolo=4499953&amp;cod_frente_verso=&amp;cod_juntada=&amp;txt_funcao=" xr:uid="{3A086F22-A377-42D8-91EB-C4926AD389CB}"/>
    <hyperlink ref="E310" r:id="rId344" display="https://intra.senado.leg.br/sigad/novo/protocolo/impressao.asp?area=processo&amp;cod_protocolo=4500061&amp;cod_frente_verso=&amp;cod_juntada=&amp;txt_funcao=" xr:uid="{21E34100-D10E-455A-8E8F-5B2FBFC6AC6E}"/>
    <hyperlink ref="E312" r:id="rId345" display="https://intra.senado.leg.br/sigad/novo/protocolo/impressao.asp?area=processo&amp;cod_protocolo=4500061&amp;cod_frente_verso=&amp;cod_juntada=&amp;txt_funcao=" xr:uid="{7F270F50-22E2-48F5-B286-816C487A1E8F}"/>
    <hyperlink ref="E314" r:id="rId346" display="https://intra.senado.leg.br/sigad/novo/protocolo/impressao.asp?area=processo&amp;cod_protocolo=4508786&amp;cod_frente_verso=&amp;cod_juntada=&amp;txt_funcao=" xr:uid="{5CA3FE47-1172-48FA-B51E-DB34BFFC84DA}"/>
    <hyperlink ref="E316" r:id="rId347" display="https://intra.senado.leg.br/sigad/novo/protocolo/impressao.asp?area=processo&amp;cod_protocolo=4476966&amp;cod_frente_verso=&amp;cod_juntada=&amp;txt_funcao=" xr:uid="{E46A217C-7C4C-4576-8524-51393DDC0060}"/>
    <hyperlink ref="E320" r:id="rId348" display="https://intra.senado.leg.br/sigad/novo/protocolo/impressao.asp?area=processo&amp;cod_protocolo=4500061&amp;cod_frente_verso=&amp;cod_juntada=&amp;txt_funcao=" xr:uid="{E7B06E78-034E-4E77-A501-A037D1403E6E}"/>
    <hyperlink ref="E332" r:id="rId349" display="https://intra.senado.leg.br/sigad/novo/protocolo/impressao.asp?area=processo&amp;cod_protocolo=4500061&amp;cod_frente_verso=&amp;cod_juntada=&amp;txt_funcao=" xr:uid="{F3883BE8-6726-44DC-92F6-B36535B98692}"/>
    <hyperlink ref="E336" r:id="rId350" display="https://intra.senado.leg.br/sigad/novo/protocolo/impressao.asp?area=processo&amp;cod_protocolo=4500061&amp;cod_frente_verso=&amp;cod_juntada=&amp;txt_funcao=" xr:uid="{0F28962C-7B3C-43A4-B719-53636BAE9A11}"/>
    <hyperlink ref="E338" r:id="rId351" display="https://intra.senado.leg.br/sigad/novo/protocolo/impressao.asp?area=processo&amp;cod_protocolo=4508786&amp;cod_frente_verso=&amp;cod_juntada=&amp;txt_funcao=" xr:uid="{A6246EAE-B520-43CD-A2F8-21CDB1FFBFA6}"/>
    <hyperlink ref="E350" r:id="rId352" display="https://intra.senado.leg.br/sigad/novo/protocolo/impressao.asp?area=processo&amp;cod_protocolo=4508858&amp;cod_frente_verso=&amp;cod_juntada=&amp;txt_funcao=" xr:uid="{260C2BCB-78ED-417D-BAE4-3C6CB559E089}"/>
    <hyperlink ref="E354" r:id="rId353" display="https://intra.senado.leg.br/sigad/novo/protocolo/impressao.asp?area=processo&amp;cod_protocolo=4500061&amp;cod_frente_verso=&amp;cod_juntada=&amp;txt_funcao=" xr:uid="{CD9DF9B3-4DA7-486B-95F7-A4733DD12D01}"/>
    <hyperlink ref="E364" r:id="rId354" display="https://intra.senado.leg.br/sigad/novo/protocolo/impressao.asp?area=processo&amp;cod_protocolo=4500061&amp;cod_frente_verso=&amp;cod_juntada=&amp;txt_funcao=" xr:uid="{2C73317A-F9CF-42EE-B611-80154567B3CE}"/>
    <hyperlink ref="E388" r:id="rId355" display="https://intra.senado.leg.br/sigad/novo/protocolo/impressao.asp?area=processo&amp;cod_protocolo=4500061&amp;cod_frente_verso=&amp;cod_juntada=&amp;txt_funcao=" xr:uid="{03AF5DA2-A1C2-4B50-A235-32C4CF42D722}"/>
    <hyperlink ref="E394" r:id="rId356" display="https://intra.senado.leg.br/sigad/novo/protocolo/impressao.asp?area=processo&amp;cod_protocolo=4500061&amp;cod_frente_verso=&amp;cod_juntada=&amp;txt_funcao=" xr:uid="{2DA29D5A-382F-4639-AD83-8AC7D6D02379}"/>
    <hyperlink ref="E402" r:id="rId357" display="https://intra.senado.leg.br/sigad/novo/protocolo/impressao.asp?area=processo&amp;cod_protocolo=4500061&amp;cod_frente_verso=&amp;cod_juntada=&amp;txt_funcao=" xr:uid="{C5FCFDBF-5108-486B-8643-FBE787D25924}"/>
    <hyperlink ref="E404" r:id="rId358" display="https://intra.senado.leg.br/sigad/novo/protocolo/impressao.asp?area=processo&amp;cod_protocolo=4500061&amp;cod_frente_verso=&amp;cod_juntada=&amp;txt_funcao=" xr:uid="{637CC503-4C9B-47E2-8486-8D6CE4CFF599}"/>
    <hyperlink ref="E410" r:id="rId359" display="https://intra.senado.leg.br/sigad/novo/protocolo/impressao.asp?area=processo&amp;cod_protocolo=4500061&amp;cod_frente_verso=&amp;cod_juntada=&amp;txt_funcao=" xr:uid="{466306EC-8332-4079-80B6-FF0A53734F29}"/>
    <hyperlink ref="E366" r:id="rId360" display="https://intra.senado.leg.br/sigad/novo/protocolo/impressao.asp?area=processo&amp;cod_protocolo=4501285&amp;cod_frente_verso=&amp;cod_juntada=&amp;txt_funcao=" xr:uid="{24A247F9-487E-48FB-9396-14199DE3BC35}"/>
    <hyperlink ref="D372:D373" r:id="rId361" display="00200.016841/2025-49" xr:uid="{46692441-F864-449A-B452-5D4A74BA5DB4}"/>
    <hyperlink ref="I342:I343" r:id="rId362" display="https://intra.senado.leg.br/sigad/visualizador/PdfJs/web/viewer.html?cod_protocolo=4518451&amp;cod_pagina=&amp;cod_usuario=76880&amp;cod_orgao=9694&amp;token=L5RH96U1JRURBOP" xr:uid="{13E05E97-28D7-4779-B854-F9C30AFBE529}"/>
    <hyperlink ref="D342:D343" r:id="rId363" display="00200.018159/2025-91" xr:uid="{9EC49CA4-BD32-4840-96F1-135454899222}"/>
    <hyperlink ref="E342" r:id="rId364" display="https://intra.senado.leg.br/sigad/novo/protocolo/impressao.asp?area=processo&amp;cod_protocolo=4515916&amp;cod_frente_verso=&amp;cod_juntada=&amp;txt_funcao=" xr:uid="{87EDF217-1444-41B6-B599-A7EC5EB8A8C8}"/>
    <hyperlink ref="D348:D349" r:id="rId365" display="00200.018826/2025-35" xr:uid="{F2F31C54-B4A7-45BD-AF4C-801361C03115}"/>
    <hyperlink ref="D394:D395" r:id="rId366" display="00200.016868/2025-31" xr:uid="{68C965DD-5651-427B-97C4-60F4424B81A4}"/>
    <hyperlink ref="E348" r:id="rId367" display="https://intra.senado.leg.br/sigad/novo/protocolo/impressao.asp?area=processo&amp;cod_protocolo=4529785&amp;cod_frente_verso=&amp;cod_juntada=&amp;txt_funcao=" xr:uid="{2C59AEC3-9B3C-45A5-BA19-6C989A647A63}"/>
    <hyperlink ref="D360:D361" r:id="rId368" display="00200.019117/2025-77" xr:uid="{7F4A5295-5010-43AD-857F-A03154395FFF}"/>
    <hyperlink ref="D346:D347" r:id="rId369" display="00200.019438/2025-71" xr:uid="{9E55B869-D1B9-4C8A-8998-2CE3AD34AF0B}"/>
    <hyperlink ref="E370" r:id="rId370" display="https://intra.senado.leg.br/sigad/novo/protocolo/impressao.asp?cod_protocolo=4534783" xr:uid="{D2B5B45B-5358-4B6D-A26B-63808E4EFFBB}"/>
    <hyperlink ref="D370:D371" r:id="rId371" display="00200.018619/2025-81" xr:uid="{35A91840-C327-4431-9CEB-F6A7833EBA50}"/>
    <hyperlink ref="D352:D353" r:id="rId372" display="00200.019637/2025-80" xr:uid="{D14FF069-BD40-4434-BB81-00BC9960A075}"/>
    <hyperlink ref="E372" r:id="rId373" display="https://intra.senado.leg.br/sigad/novo/protocolo/impressao.asp?cod_protocolo=4537024" xr:uid="{D5A4E2A9-2E65-45CD-90EE-9387BB20136A}"/>
    <hyperlink ref="E346" r:id="rId374" display="https://intra.senado.leg.br/sigad/novo/protocolo/impressao.asp?cod_protocolo=4536977" xr:uid="{552079AA-E0B6-4975-839F-802402EE3222}"/>
    <hyperlink ref="E380" r:id="rId375" display="https://intra.senado.leg.br/sigad/novo/protocolo/impressao.asp?cod_protocolo=4537003" xr:uid="{A8EFBB57-F11B-428F-8118-39641D7608E2}"/>
    <hyperlink ref="E352" r:id="rId376" display="https://intra.senado.leg.br/sigad/novo/protocolo/impressao.asp?cod_protocolo=4543420" xr:uid="{74240D47-770C-4F75-AF57-3444D99305A2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98FFF6-0127-4E67-9FDE-EE70C9DDB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Honda Kobayashi</dc:creator>
  <cp:lastModifiedBy>Marcelo Honda Kobayashi</cp:lastModifiedBy>
  <dcterms:created xsi:type="dcterms:W3CDTF">2025-10-28T17:06:09Z</dcterms:created>
  <dcterms:modified xsi:type="dcterms:W3CDTF">2025-10-30T13:23:25Z</dcterms:modified>
</cp:coreProperties>
</file>