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D:\Usuarios\07228257146\Desktop\Certificados\Oracle APEX\Iluminação\"/>
    </mc:Choice>
  </mc:AlternateContent>
  <xr:revisionPtr revIDLastSave="0" documentId="13_ncr:1_{8CB3FEAC-EC1E-4358-8BFA-D696E5D6D43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28102025" sheetId="1" r:id="rId1"/>
    <sheet name="Ilu_Ilumina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7" i="2" l="1"/>
  <c r="O436" i="2"/>
  <c r="O435" i="2"/>
  <c r="O434" i="2"/>
  <c r="P347" i="2"/>
  <c r="P34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32" i="2"/>
  <c r="P433" i="2"/>
  <c r="P2" i="2"/>
  <c r="O433" i="2"/>
  <c r="O432" i="2"/>
  <c r="O431" i="2"/>
  <c r="O430" i="2"/>
  <c r="O417" i="2"/>
  <c r="O416" i="2"/>
  <c r="O407" i="2"/>
  <c r="O406" i="2"/>
  <c r="O405" i="2"/>
  <c r="O404" i="2"/>
  <c r="O401" i="2"/>
  <c r="O400" i="2"/>
  <c r="O399" i="2"/>
  <c r="O398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402" i="2"/>
  <c r="O403" i="2"/>
  <c r="O408" i="2"/>
  <c r="O409" i="2"/>
  <c r="O410" i="2"/>
  <c r="O411" i="2"/>
  <c r="O412" i="2"/>
  <c r="O413" i="2"/>
  <c r="O414" i="2"/>
  <c r="O415" i="2"/>
  <c r="O418" i="2"/>
  <c r="O419" i="2"/>
  <c r="O420" i="2"/>
  <c r="O421" i="2"/>
  <c r="O426" i="2"/>
  <c r="O427" i="2"/>
  <c r="O428" i="2"/>
  <c r="O429" i="2"/>
  <c r="O2" i="2"/>
</calcChain>
</file>

<file path=xl/sharedStrings.xml><?xml version="1.0" encoding="utf-8"?>
<sst xmlns="http://schemas.openxmlformats.org/spreadsheetml/2006/main" count="7394" uniqueCount="862">
  <si>
    <t>PROJEÇÃO</t>
  </si>
  <si>
    <t>Cúpula</t>
  </si>
  <si>
    <t>Anexo I</t>
  </si>
  <si>
    <t>Senador Fabiano Contarato
Contato: 3303-9049</t>
  </si>
  <si>
    <t>Bruno Olímpio 
Administrador Regional do Plano Piloto
Contato: 3329-0400</t>
  </si>
  <si>
    <t>Deputadas Federal Erika Hilton e
 Deputada Federal Duda Salabert
Contato: 3215-5636
Vitória Regina</t>
  </si>
  <si>
    <t xml:space="preserve">Senadora Zenaide Maia
Procuradoria Especial da Mulher
Contato: 3303-1710/ 1716
</t>
  </si>
  <si>
    <t>Senador Flávio Arns
Contato: 3303-6301</t>
  </si>
  <si>
    <t>Senador Romário
Contato: 3303-6518 / 6519
Senador Giordano
Contato: 3303-4177 / 4175</t>
  </si>
  <si>
    <t>Deputado Dr. Zacharias Calil
Contato: 3215-5616</t>
  </si>
  <si>
    <t>Senador Carlos Portinho
Contato: 3303-6640/ 6613</t>
  </si>
  <si>
    <t>Senador Nelsinho Trad
Contato: 3303-6767</t>
  </si>
  <si>
    <t>Senadora Mara Gabrilli
Contato: 3303-2191
Deputada Federal Nely Aquino
Contato: 3215-5943</t>
  </si>
  <si>
    <t>Senador Romário
Contato: 3303-6518 / 6519</t>
  </si>
  <si>
    <t>Senadora Leila Barros
Contato: 3303-6427</t>
  </si>
  <si>
    <t>Deputado Federal Zacharias Calil
Contato: 3215-5616</t>
  </si>
  <si>
    <t>Senador Dr. Hiran
Contato: 3303-6251</t>
  </si>
  <si>
    <t>Secretaria de Relações Públicas
Acionamento do CT 236/2024
1ª/10</t>
  </si>
  <si>
    <t>Senadora Mara Gabrilli
Contato: 3303-2191</t>
  </si>
  <si>
    <t>Senador Alessandro Vieira
Contato: 3303-9011/ 9014</t>
  </si>
  <si>
    <t>Núcleo de Coordenação de Ações  Socioambientais- NCAS
Contato: 3303-6005 
Coordenador Humberto Formiga</t>
  </si>
  <si>
    <t>Deputado Federal Pastor Diniz
Contato: 3215-5423/ 3423</t>
  </si>
  <si>
    <t>Ministro de Estado da Saúde
Alexandre Padilha</t>
  </si>
  <si>
    <t>Secretaria de Relações Públicas
Acionamento do CT 236/2024
2ª/10</t>
  </si>
  <si>
    <t>Deputada Federal Simone Marquetto
Contato: 3215-5834
Deputado Fred Costa</t>
  </si>
  <si>
    <t>Governo do Distrito Federal
Contato:  Gustavo do Vale Rocha- Secretário de Estado-Chefe da Casa Civil do Distrito Federal</t>
  </si>
  <si>
    <t xml:space="preserve">Associação Brasileira de Pessoas com Hemofilia- ABRAPHEM
Contato: (11) 98801-0231
Mariana Leme- Presidente </t>
  </si>
  <si>
    <t>Deputado Federal Daniel Agrobom
Contato: 3215-5572</t>
  </si>
  <si>
    <t>Confederação Israelita do Brasil- CONIB
Contato: Claudio L. Lottenberg Parnes- Presidente da CONIB</t>
  </si>
  <si>
    <t>Secretaria de Relações Públicas
Acionamento do CT 236/2024
3ª/10</t>
  </si>
  <si>
    <t>Ministério Público do Trabalho/
Procuradoria-Geral do Trabalho
Contato: 3314-8500
Procuradora do Trabalho: Cirlene Luiza Zimmermann</t>
  </si>
  <si>
    <t>Senador Paulo Paim
Contato: 3303-5232</t>
  </si>
  <si>
    <t>Senadora Damares Alves
Contato: 3303-3265</t>
  </si>
  <si>
    <t>Deputado Federal Bruno Farias
Contato: 3215-5637</t>
  </si>
  <si>
    <t>Deputada Federal Erika Kokay
Contato: 3215-5203</t>
  </si>
  <si>
    <t>Deputada Tabata Amaral
Contato: Adm.tabataamaral@gmail.com</t>
  </si>
  <si>
    <t>Senador Jorge Kajuru
Contato: 3303-2844</t>
  </si>
  <si>
    <t>Deputado Federal Diego Garcia
Contato: 3215-5910</t>
  </si>
  <si>
    <t>Deputada Federal Iza Arruda
Contato: 3215-5828</t>
  </si>
  <si>
    <t>Deputado Federal Diego Garcia
Contato: -</t>
  </si>
  <si>
    <t>Senadora Ana Paula Lobato
Contato: 3303-1874</t>
  </si>
  <si>
    <t>Ministério da Saúde
Contato: (61) 3315-2350/3347</t>
  </si>
  <si>
    <t>Senador Luis Carlos Heinze
Contato: 3303-4124
Conselho Regional de Odontologia/RS
Contato: 3026-1700</t>
  </si>
  <si>
    <t>Senador Alessandro Vieira
Contato: 3303-9011</t>
  </si>
  <si>
    <t>Secretaria de Relações Públicas
Acionamento do CT 236/2024
4ª/10</t>
  </si>
  <si>
    <t>Secretaria de Relações Públicas
Acionamento do CT 236/2024
5ª/10</t>
  </si>
  <si>
    <t>Senador Espiridião Amin
Contato: 3303-6446</t>
  </si>
  <si>
    <t>Senador Alan Rick
Contato: 3303-6333</t>
  </si>
  <si>
    <t>Deputada Federal Duda Salabert Rosa
Contato: 3215-5840</t>
  </si>
  <si>
    <t>Deputado Federal Augusto Puppio
Contato: 3215-5445</t>
  </si>
  <si>
    <t>Secretaria de Relações Públicas/
Deputadas Federais Erika Hilton e Duda Salabert 
Acionamento do CT 236/2024
6ª/10</t>
  </si>
  <si>
    <t>Deputado Federal Bacelar
Contato: 3215-5783</t>
  </si>
  <si>
    <t>Deputado Federal Dr. Zacharias Calil
Contato: 3215-2616</t>
  </si>
  <si>
    <t>Senadora Eliziane Gama
Contato: 3303-6741</t>
  </si>
  <si>
    <t>Senador Alessandro Vieira
Contato: 3303-9011/9014/9019</t>
  </si>
  <si>
    <t xml:space="preserve">Deputada Erika Kokay
</t>
  </si>
  <si>
    <t>Senador Marcelo Castro
Contato: 3303-6130 / 4078</t>
  </si>
  <si>
    <t>Senadora Zenaide Maia
Procuradoria Especial da Mulher
Contato: 3303-1710/ 1716</t>
  </si>
  <si>
    <t>Senadora Professora Dorinha Seabra
Líder da Bancada Feminina no Senado Federal
Contato: 3303-5990</t>
  </si>
  <si>
    <t>Deputado Federal Júnior Mano
Contato: 3215-5807/ 3807</t>
  </si>
  <si>
    <t>Olivier Fontan
Encarregado de Negócios da Embaixada da França no Brasil</t>
  </si>
  <si>
    <t>Conselho Nacional de Nutrição
Contato: 3225-6027
Senador Ciro Nogueira
Contato: 3303-6185/ 6187</t>
  </si>
  <si>
    <t>Senador Esperidião Amin
Contato: 3303-6446</t>
  </si>
  <si>
    <t>Paulo Venícius Brito da Silva, 
Secretário de Comunicação Institucional da Presidência da República
Contato: 3411-1902/ 1270</t>
  </si>
  <si>
    <t>Senadora Ana Paula Lobato,
Terceira-Secretária do Senado Federal
Contato: 3303-1874</t>
  </si>
  <si>
    <t>Grupo Brasileiro de Tumores Ginecológicos</t>
  </si>
  <si>
    <t>Deputado  Federal Pedro  Westphalen</t>
  </si>
  <si>
    <t>Senadora Dorinha Seabra
Contato: 5990
Marinha do Brasil
Contato: 3429-1574</t>
  </si>
  <si>
    <t>Ministra de Estado das Mulheres, Senhora Márcia Helena Carvalho Lopes
Contato: 2028-4529/2027-3601/2027-3625</t>
  </si>
  <si>
    <t>Senador Jorge Kajuru
Contato: 3303-2843</t>
  </si>
  <si>
    <t>Secretaria de Relações Públicas
Acionamento do CT 236/2024
7ª/10</t>
  </si>
  <si>
    <t>Senadora Ana Paula Lobato
Contato: 3303-2902</t>
  </si>
  <si>
    <t>Deputado Federal Dagoberto Nogueira
Contato: 3215-5522</t>
  </si>
  <si>
    <t xml:space="preserve">Presidente da Subcomissão Temporária - CASCANCER, Senadora Dra. Eudócia;
e
Senador Nelsinho Trad.
</t>
  </si>
  <si>
    <t>Secretaria de Estado de Saúde do Distrito Federal
Juracy Cavalcante Lacerda Júnior- Secretário</t>
  </si>
  <si>
    <t>Secretaria de Relações Públicas
Acionamento do CT 236/2024
8ª/10</t>
  </si>
  <si>
    <t>Deputado Federal Jorge Solla
Contato: 3215-5134/ 3134</t>
  </si>
  <si>
    <t>Senador Flávio Arns
Contato: 3303-2902</t>
  </si>
  <si>
    <t>Senador Astronauta Marcos Pontes
Contato: 3303-1177</t>
  </si>
  <si>
    <t>Secretaria de Relações Públicas
Acionamento do CT 236/2024
9ª/10</t>
  </si>
  <si>
    <t>Deputado Federal Dr. Zacharuas Calil
Contato: (61) 3215-56169ª/10</t>
  </si>
  <si>
    <t>Deputado Federal Dr. Zacharuas Calil
Contato: (61) 3215-5616</t>
  </si>
  <si>
    <t>Senadora Dra. Eudócia
Contato: 6083</t>
  </si>
  <si>
    <t>Senador Romário
Contato: 3303-6519</t>
  </si>
  <si>
    <t>Secretaria de Relações Públicas
Acionamento do CT 236/2024
10ª/10</t>
  </si>
  <si>
    <t>00200.0022151/2024-48</t>
  </si>
  <si>
    <t>00200.000279/2025-31</t>
  </si>
  <si>
    <t>00200.000725/2025-16</t>
  </si>
  <si>
    <t>00200.022124/2024-75</t>
  </si>
  <si>
    <t>00200.018442/2024-31</t>
  </si>
  <si>
    <t>00200.002074/2025-91</t>
  </si>
  <si>
    <t>00200.000679/2025-47</t>
  </si>
  <si>
    <t>00200.003357/2025-50</t>
  </si>
  <si>
    <t>00200.018267/2024-82</t>
  </si>
  <si>
    <t>00200.002010/2025-90</t>
  </si>
  <si>
    <t>00200.004195/2025-77</t>
  </si>
  <si>
    <t>00200.002104/2025-69</t>
  </si>
  <si>
    <t>00200.002104/2025-70</t>
  </si>
  <si>
    <t>00200.004231/2025-01</t>
  </si>
  <si>
    <t>00200.002241/2025-01</t>
  </si>
  <si>
    <t>00200.004169/2025-49</t>
  </si>
  <si>
    <t>00200.004590/2025-50</t>
  </si>
  <si>
    <t>00200.004843/2025-95</t>
  </si>
  <si>
    <t>00200.004960/2025-59</t>
  </si>
  <si>
    <t>00200.004678/2025-71</t>
  </si>
  <si>
    <t>00200.004647/2025-11</t>
  </si>
  <si>
    <t>00200.002164/2025-81</t>
  </si>
  <si>
    <t>00200.003769/2025-90</t>
  </si>
  <si>
    <t>Ofício de Autorização do Presidente do Senado</t>
  </si>
  <si>
    <t>00200.004671/2025-90</t>
  </si>
  <si>
    <t>00200.004937/2025-64</t>
  </si>
  <si>
    <t>00200.001313/2025-95</t>
  </si>
  <si>
    <t>00200.003245/2025-07</t>
  </si>
  <si>
    <t>00200.003189/2025-01</t>
  </si>
  <si>
    <t>00200.003199/2025-38</t>
  </si>
  <si>
    <t>00200.006763/2025-74</t>
  </si>
  <si>
    <t>00200.004768/2025-62</t>
  </si>
  <si>
    <t>00200.004975/2025-17</t>
  </si>
  <si>
    <t>00200.008159/2025-82</t>
  </si>
  <si>
    <t>00200.007347/2025-93</t>
  </si>
  <si>
    <t>00200.002029/2025-36</t>
  </si>
  <si>
    <t>00200.007737/2025-63</t>
  </si>
  <si>
    <t>00200.007761/2025-01</t>
  </si>
  <si>
    <t>00200.008976/2025-31</t>
  </si>
  <si>
    <t>00200.003585/2025-20</t>
  </si>
  <si>
    <t>00200.008380/2025-31</t>
  </si>
  <si>
    <t>00200.003642/2025-71</t>
  </si>
  <si>
    <t>00200.005445/2025-96</t>
  </si>
  <si>
    <t>00200.008803/2025-12</t>
  </si>
  <si>
    <t>00200.007373/2025-11</t>
  </si>
  <si>
    <t>00200.008700/2025-52</t>
  </si>
  <si>
    <t>00200.009031/2025-36</t>
  </si>
  <si>
    <t>00200.002811/2025-55</t>
  </si>
  <si>
    <t>00200.008956/2025-60</t>
  </si>
  <si>
    <t>00200.009678/2025-68</t>
  </si>
  <si>
    <t>00200.009243/2025-13</t>
  </si>
  <si>
    <t>00200.009879/2025-65</t>
  </si>
  <si>
    <t>00200.008642/2025-67</t>
  </si>
  <si>
    <t>00200.002247/2025-71</t>
  </si>
  <si>
    <t>00200.007799/2025-75</t>
  </si>
  <si>
    <t>00200.009460/2025-11</t>
  </si>
  <si>
    <t>00200.010582/2025-42</t>
  </si>
  <si>
    <t>00200.009839/2025-13</t>
  </si>
  <si>
    <t>00200.011494/2025-68</t>
  </si>
  <si>
    <t>00200.011353/2025-45</t>
  </si>
  <si>
    <t>00200.011744/2025-60</t>
  </si>
  <si>
    <t>00200.011899/2025-04</t>
  </si>
  <si>
    <t>00200.011988/2025-42</t>
  </si>
  <si>
    <t>00200.012610/2025-66</t>
  </si>
  <si>
    <t>00200.012950/2025-97</t>
  </si>
  <si>
    <t>00200.012568/2025-83</t>
  </si>
  <si>
    <t>00200.009608/2025-18</t>
  </si>
  <si>
    <t>00200.013033/2025-20</t>
  </si>
  <si>
    <t>00200.013595/2025-73</t>
  </si>
  <si>
    <t>00200.013783/2025-00</t>
  </si>
  <si>
    <t>00200.013017/2025-37</t>
  </si>
  <si>
    <t>00200.013416/2025-06</t>
  </si>
  <si>
    <t>00200.012498/2025-63</t>
  </si>
  <si>
    <t>00200.012856/2025-38</t>
  </si>
  <si>
    <t>00200.013916/2025-30</t>
  </si>
  <si>
    <t>00200.013689/2025-42</t>
  </si>
  <si>
    <t>00200.014218/2025-51</t>
  </si>
  <si>
    <t>00200.014586/2025-08</t>
  </si>
  <si>
    <t>00200.011575/2025-68</t>
  </si>
  <si>
    <t>00200.015061/2025-81</t>
  </si>
  <si>
    <t>00200.013958/2025-71</t>
  </si>
  <si>
    <t>00200.004224/2025-09</t>
  </si>
  <si>
    <t xml:space="preserve">00200.002164/2025-81 </t>
  </si>
  <si>
    <t>00200.011310/2025-60</t>
  </si>
  <si>
    <t>00200.013103/2025-40</t>
  </si>
  <si>
    <t>00200.015790/2025-38</t>
  </si>
  <si>
    <t>00200.015742/2025-40</t>
  </si>
  <si>
    <t>00200.016737/2025-54</t>
  </si>
  <si>
    <t xml:space="preserve">00200.016668/2025-89 </t>
  </si>
  <si>
    <t>00200.016868/2025-31</t>
  </si>
  <si>
    <t>00200.011833/2025-14</t>
  </si>
  <si>
    <t>00200.014876/2025-43</t>
  </si>
  <si>
    <t>00200.016685/2025-16</t>
  </si>
  <si>
    <t>00200.015100/2025-40</t>
  </si>
  <si>
    <t xml:space="preserve">00200.015100/2025-41 </t>
  </si>
  <si>
    <t>00200.016451/2025-79</t>
  </si>
  <si>
    <t>00200.015976/2025-97</t>
  </si>
  <si>
    <t>00200.017453/2025-85</t>
  </si>
  <si>
    <t>00200.015536/2025-30</t>
  </si>
  <si>
    <t>00200.015172/2025-98</t>
  </si>
  <si>
    <t>00200.015709/2025-10</t>
  </si>
  <si>
    <t xml:space="preserve"> 00200.014697/2025-14</t>
  </si>
  <si>
    <t>00200.018159/2025-91</t>
  </si>
  <si>
    <t>00200.014546/2025-58</t>
  </si>
  <si>
    <t>00200.019438/2025-71</t>
  </si>
  <si>
    <t>00200.018826/2025-35</t>
  </si>
  <si>
    <t>00200.017096/2025-55</t>
  </si>
  <si>
    <t>00200.019637/2025-80</t>
  </si>
  <si>
    <t>00100.201364/2025-43</t>
  </si>
  <si>
    <t>00200.019117/2025-77</t>
  </si>
  <si>
    <t>00200.016965/2025-24</t>
  </si>
  <si>
    <t>00200.018619/2025-81</t>
  </si>
  <si>
    <t>00200.016841/2025-49</t>
  </si>
  <si>
    <t>00200.016997/2025-20</t>
  </si>
  <si>
    <t>00200.017611/2025-05</t>
  </si>
  <si>
    <t>SIM
00100.228995/2024-29</t>
  </si>
  <si>
    <t>SIM
00100.001894/2025-93</t>
  </si>
  <si>
    <t>SIM
00100009851/2025-56</t>
  </si>
  <si>
    <t>Autorizado pela Câmara dos Deputados</t>
  </si>
  <si>
    <t>SIM
00100.229439/2024-70</t>
  </si>
  <si>
    <t>SIM
00100.180659/2024-98</t>
  </si>
  <si>
    <t>SIM
00100.018505/2025-69</t>
  </si>
  <si>
    <t>SIM
00100.006136/2025-61</t>
  </si>
  <si>
    <t>Tramitado para a Câmara dos Deputados autorizar</t>
  </si>
  <si>
    <t>SIM
00100.029645/2025-62</t>
  </si>
  <si>
    <t>SIM
00100.178568/2024-92</t>
  </si>
  <si>
    <t>SIM
00100.017827/2025-91</t>
  </si>
  <si>
    <t>SIM
00100.037117/2025-87</t>
  </si>
  <si>
    <t>SIM
00100.018612/2025-97</t>
  </si>
  <si>
    <t>SIM
00100.037681/2025-08</t>
  </si>
  <si>
    <t>SIM
00100.019717/2025-63</t>
  </si>
  <si>
    <t>SIM
00100.038411/2025-14</t>
  </si>
  <si>
    <t>SIM
00100.041067/2025-32</t>
  </si>
  <si>
    <t>SIM
00100.044338/2025-10</t>
  </si>
  <si>
    <t>SIM
00100.046336/2025-57</t>
  </si>
  <si>
    <t>SIM
00100.042399/2025-34</t>
  </si>
  <si>
    <t>SIM
00100.041818/2025-11</t>
  </si>
  <si>
    <t>SIM
00100.052493/2025-00</t>
  </si>
  <si>
    <t>SIM
00100.019127/2025-31</t>
  </si>
  <si>
    <t>SIM
00100.060813/2025-97</t>
  </si>
  <si>
    <t>SIM
00100.042276/2025-01</t>
  </si>
  <si>
    <t>SIM
00100.045807/2025-18</t>
  </si>
  <si>
    <t>SIM
00100.063436/2025-48</t>
  </si>
  <si>
    <t>SIM
00100.028112/2025-07</t>
  </si>
  <si>
    <t>SIM
00100.027597/2025-78</t>
  </si>
  <si>
    <t>SIM
00100.071922/2025-30</t>
  </si>
  <si>
    <t>SIM
00100.043209/2025-04</t>
  </si>
  <si>
    <t>SIM
00200.046220/2025-18</t>
  </si>
  <si>
    <t>SIM
00100.078563/2025-41</t>
  </si>
  <si>
    <t>SIM
00100.070673/2025-65</t>
  </si>
  <si>
    <t>SIM
00100.018019/2025-41</t>
  </si>
  <si>
    <t>SIM
00100.074668/2025-21</t>
  </si>
  <si>
    <t>SIM
00100.074871/2025-06</t>
  </si>
  <si>
    <t xml:space="preserve">SIM
00100.087731/2025-90 (VIA 001)
</t>
  </si>
  <si>
    <t>SIM
00100.031661/2025-15</t>
  </si>
  <si>
    <t>SIM
00100.080786/2025-79</t>
  </si>
  <si>
    <t>SIM
00100.031727/2025-77</t>
  </si>
  <si>
    <t>SIM
00100.051465/2025-67</t>
  </si>
  <si>
    <t>SIM
00100.085988/2025-15</t>
  </si>
  <si>
    <t xml:space="preserve">SIM
00100.091163/2025-21
</t>
  </si>
  <si>
    <t>SIM
00100.070830/2025-32</t>
  </si>
  <si>
    <t>SIM
00100.085025/2025-11</t>
  </si>
  <si>
    <t>SIM
00100.088421/2025-92</t>
  </si>
  <si>
    <t>SIM
00100.026706/2025-30</t>
  </si>
  <si>
    <t xml:space="preserve">SIM 00100.087637/2025-31
</t>
  </si>
  <si>
    <t>SIM
00100.095035/2025-57</t>
  </si>
  <si>
    <t>Sim
00100.090589/2025-68</t>
  </si>
  <si>
    <t>SIM
00100.097051/2025-84</t>
  </si>
  <si>
    <t>SIM
00100.084512/2025-59</t>
  </si>
  <si>
    <t>SIM
00100.019795/2025-68</t>
  </si>
  <si>
    <t>Tramitado para a PRSECR
Aguardando autorização</t>
  </si>
  <si>
    <t>SIM
00100.093006/2025-51</t>
  </si>
  <si>
    <t>SIM 
00100.105542/2025-14</t>
  </si>
  <si>
    <t>SIM
00100.096748/2025-38</t>
  </si>
  <si>
    <t>SIM
00100.115026/2025-90</t>
  </si>
  <si>
    <t>SIM
00100.117355/2025-75</t>
  </si>
  <si>
    <t>SIM
00100.118927/2025-33</t>
  </si>
  <si>
    <t>SIM
00100.119868/2025-11</t>
  </si>
  <si>
    <t>SIM
00100.126471/2025-85</t>
  </si>
  <si>
    <t>SIM
00100.129608/2025-53</t>
  </si>
  <si>
    <t>SIM
00100.125756/2025-07</t>
  </si>
  <si>
    <t>SIM
00100.094434/2025-09</t>
  </si>
  <si>
    <t>SIM
00100.131254/2025-15</t>
  </si>
  <si>
    <t>SIM
00100.137182/2025-10</t>
  </si>
  <si>
    <t>SIM
00100.139055/2025-47</t>
  </si>
  <si>
    <t xml:space="preserve">SIM
00100.133955/2025-81 </t>
  </si>
  <si>
    <t xml:space="preserve">SIM
00100.134166/2025-67 </t>
  </si>
  <si>
    <t xml:space="preserve">Autorizado pela Câmara dos Deputados </t>
  </si>
  <si>
    <t>SIM
00100.125204/2025-91</t>
  </si>
  <si>
    <t>SIM
00100.128552/2025-10</t>
  </si>
  <si>
    <t>SIM
00100.140837/2025-29</t>
  </si>
  <si>
    <t>SIM
00100.137881/2025-51</t>
  </si>
  <si>
    <t>SIM
00100.144903/2025-30</t>
  </si>
  <si>
    <t>SIM
00100.148752/2025-99</t>
  </si>
  <si>
    <t>SIM
00100.115702/2025-25</t>
  </si>
  <si>
    <t>SIM
00100.154898/2025-73</t>
  </si>
  <si>
    <t>SIM
00100.141532/2025-34</t>
  </si>
  <si>
    <t>SIM
00100.037503/2025-79</t>
  </si>
  <si>
    <t>SIM
00100.167835/2025-87</t>
  </si>
  <si>
    <t>SIM
00100.113504/2025-27</t>
  </si>
  <si>
    <t>SIM
00100.131442/2025-35</t>
  </si>
  <si>
    <t>SIM
00100.132068/2025-95</t>
  </si>
  <si>
    <t>SIM
00100.163303/2025-71</t>
  </si>
  <si>
    <t>SIM
00100.163442/2025-02</t>
  </si>
  <si>
    <t>SIM
00100.172612/2025-31</t>
  </si>
  <si>
    <t>SIM
00100.172192/2025-93</t>
  </si>
  <si>
    <t>00100.174589/2025-10</t>
  </si>
  <si>
    <t>SIM
00100.118065/2025-49</t>
  </si>
  <si>
    <t>SIM
00100.152809/2025-54</t>
  </si>
  <si>
    <t>00100.172718/2025-35</t>
  </si>
  <si>
    <t>Aguardando autorização</t>
  </si>
  <si>
    <t>SIM
00100.155038/2025-56</t>
  </si>
  <si>
    <t>SIM
00100.155039/2025-00</t>
  </si>
  <si>
    <t>SIM
00100.169977/2025-89</t>
  </si>
  <si>
    <t>SIM
00100.169293/2025-87</t>
  </si>
  <si>
    <t>SIM
00100.174589/2025-10</t>
  </si>
  <si>
    <t>SIM
00100.179281/2025-61</t>
  </si>
  <si>
    <t>SIM
00100.160051/2025-28</t>
  </si>
  <si>
    <t>SIM
00100.173359/2025-33
00100.172013/2025-18</t>
  </si>
  <si>
    <t>SIM
00100.162124/2025-16</t>
  </si>
  <si>
    <t>SIM
00100.151130/2025-48</t>
  </si>
  <si>
    <t>SIM
00100.183708/2025-25</t>
  </si>
  <si>
    <t>SIM
00100.147694/2025-86</t>
  </si>
  <si>
    <t>SIM
00100.194050/2025-87</t>
  </si>
  <si>
    <t>SIM
00100.188550/2025-80</t>
  </si>
  <si>
    <t xml:space="preserve">SIM
00100.176284/2025-42 </t>
  </si>
  <si>
    <t>SIM
00100.195524/2025-16</t>
  </si>
  <si>
    <t>SIM
00100.174325/2025-66</t>
  </si>
  <si>
    <t>SIM
00100.187199/2025-18</t>
  </si>
  <si>
    <t>SIM
00100.173441/2025-68</t>
  </si>
  <si>
    <t>SIM
 00100.174889/2025-07</t>
  </si>
  <si>
    <t>Campanha Janeiro Roxo:
Conscientização ao 
Dia  Mundial  Contra  a  Hanseníase  e  ao  Dia  Mundial  das  Doenças  Tropicais 
Negligenciadas
(COR ROXA)</t>
  </si>
  <si>
    <t>PROJEÇÃO
Dia Nacional da Visibilidade Trans</t>
  </si>
  <si>
    <t>Dia Mundial do Câncer
(COR ROXA)</t>
  </si>
  <si>
    <t>Dia Internacional da Síndrome de Angelman
(COR AZUL)</t>
  </si>
  <si>
    <t>Fevereiro Roxo: 
Lúpus, Fibromialgia e Mal de 
Alzheimer 
(COR ROXA)</t>
  </si>
  <si>
    <t>Dia Nacional da Criança Traqueostomizada
(COR ROXA)</t>
  </si>
  <si>
    <t>Homenagem aos atletas medalhistas brasileiros, o tenista João França e o surfista Ítalo Ferreira
(COR VERDE na Cúpula e
COR AMARELA no Anexo I)</t>
  </si>
  <si>
    <t>Dia Mundial das Doenças Raras
(COR VERDE na Cúpula e
COR ROSA no Anexo I)</t>
  </si>
  <si>
    <t>Dia Internacional da Mulher
(COR ROXA)</t>
  </si>
  <si>
    <t>Dia Internacional da Mulher
(COR LILÁS)</t>
  </si>
  <si>
    <t>Dia Internacional da Obesidade
(COR ROXA)</t>
  </si>
  <si>
    <t>Dia Mundial dos Rins
(COR AZUL na Cúpula e
COR VERMELHA no Anexo I)</t>
  </si>
  <si>
    <t>Dia Mundial do Sono
(COR VERMELHA)</t>
  </si>
  <si>
    <t>Campanha Março Azul 2025:
Prevenção do Câncer de Intestino
(COR AZUL)</t>
  </si>
  <si>
    <t>PROJEÇÃO
40 Anos da Redemocratização</t>
  </si>
  <si>
    <t>Dia Internacional da Síndrome de Down
(COR AZUL na Cúpula e
COR AMARELA no Anexo I)</t>
  </si>
  <si>
    <t>"Hora do Planeta":
um dos maiores eventos globais em defesa do meio ambiente e combate às mudanças climáticas
LUZES APAGADAS</t>
  </si>
  <si>
    <t>Dia Mundial da Optometria
(COR VERDE)</t>
  </si>
  <si>
    <t>Conscientização sobre o Câncer de Colo de Útero
(COR LILÁS/ROXA)</t>
  </si>
  <si>
    <t>Dia da Neuromielite Óptica - NMO
(COR VERDE)</t>
  </si>
  <si>
    <t>PROJEÇÃO
Mês da Mulher</t>
  </si>
  <si>
    <t>Dia Mundial da Conscientização sobre o Autismo 
(COR AZUL)</t>
  </si>
  <si>
    <t>Semana da Porfiria
(COR ROXA)</t>
  </si>
  <si>
    <t>Dia Mundial da Atividade Física / Dia Mundial da Saúde
(COR VERDE)</t>
  </si>
  <si>
    <t>PROJEÇÃO
Campanha Nacional de Vacinação contra a Gripe</t>
  </si>
  <si>
    <t>Dia Mundial da Síndrome de Cushing
(COR AMARELA)</t>
  </si>
  <si>
    <t>Abril Laranja, mês dedicado à conscientização e prevenção da crueldade contra os animais
(COR LARANJA)</t>
  </si>
  <si>
    <t>Anúncio das Cidades-Cede da Copa do Mundo Feminina da FIFA 2027
COR AMARELA no Senado
COR VERDE na Câmara</t>
  </si>
  <si>
    <t>Dia Mundial de Conscientização da Doença de Parkinson
(COR VERDE)</t>
  </si>
  <si>
    <t>Dia Mundial da Homeopatia
(COR VERDE)</t>
  </si>
  <si>
    <t>Dia Mundial da Hemofilia
(COR VERMELHA)</t>
  </si>
  <si>
    <t>ABRIL MARROM
Mês designado para conscientizar a população sobre a prevenção, combate e reabilitação às diversas doenças que podem causar a perda irreversível da visão
(COR MARROM)</t>
  </si>
  <si>
    <t>PROJEÇÃO
"lom HaShoá VehaGvurá" (Dia do Holocausto e do Heroísmo)</t>
  </si>
  <si>
    <t>PROJEÇÃO
Aniversário de Brasília</t>
  </si>
  <si>
    <t>Dia Nacional e Internacional em Memória às Vítimas de Acidentes e Doenças do Trabalho
(COR VERDE)</t>
  </si>
  <si>
    <t>Dia Mundial em Memória das Vítimas de Acidentes e Doenças do Trabalho
(COR VERDE)</t>
  </si>
  <si>
    <t>Maio Amarelo - Segurança no Trânsito
(COR AMARELA)</t>
  </si>
  <si>
    <t>Dia de Conscientização sobre a Síndrome de Edwards
(COR LILÁS)</t>
  </si>
  <si>
    <t>Dia Nacional de Conscientização da Distonia
(COR AZUL)</t>
  </si>
  <si>
    <t xml:space="preserve">Dia Mundial da Hipertensão Pulmonar
(COR AZUL) </t>
  </si>
  <si>
    <t>Dia das Mães
(COR ROSA)</t>
  </si>
  <si>
    <t>Mês da Enfermagem
(COR VERDE)</t>
  </si>
  <si>
    <t>Dia Internacional de Conscientização sobre a Fibromialgia e a Encefalomielite Miálgica/ Síndrome da Fadiga Crônica- EM/SFC
(COR ROXA)</t>
  </si>
  <si>
    <t>PROJEÇÃO
Dia 
Nacional de Combate ao Abuso e à Exploração Sexual de Crianças e Adolescentes,</t>
  </si>
  <si>
    <t>Dia Nacional de Combate ao Abuso e à Exploração Sexual de Crianças e Adolescentes
(COR LARANJA)</t>
  </si>
  <si>
    <t>Dia Nacional de Enfrentamento ao Abuso e Exploração Sexual Infantil
(COR LARANJA)</t>
  </si>
  <si>
    <t>Dia de Conscientização sobre as Síndromes de Ehlers-Danlos e Transtornos do Espectro de Hipermobilidade
(COR LARANJA)</t>
  </si>
  <si>
    <t>DIA NACIONAL DE ENFRENTAMENTO AO ABUSO E À EXPLORAÇÃO SEXUAL DE CRIANÇAS E 
ADOLESCENTES
(COR LARANJA)</t>
  </si>
  <si>
    <t>Dia Nacional da Defensoria Pública
(COR VERDE)</t>
  </si>
  <si>
    <t>Campanha de Conscientização sobre as Cefaleias
(COR VERMELHA)</t>
  </si>
  <si>
    <t>PROJEÇÃO
Campanha de Conscientização Mundial sobre a Doença Celíaca</t>
  </si>
  <si>
    <t>PROJEÇÃO
Campanha de conscientização sobre as cefaleias – Maio bordô</t>
  </si>
  <si>
    <t>Campanha 24 Horas pelo Glaucoma
(COR VERDE)</t>
  </si>
  <si>
    <t>Dia Internacional de Luta pela Saúde da Mulher e ao Dia Nacional de Redução da Mortalidade Materna
(COR ROSA)</t>
  </si>
  <si>
    <t>PROJEÇÃO
Luta Antimanicomial
(testes e projeção no mesmo dia)</t>
  </si>
  <si>
    <t>Campanha Maio Vermelho: a fim de sensibilizar a sociedade sobre a importância da prevenção ao câncer de boca
(COR VERMELHA)</t>
  </si>
  <si>
    <t xml:space="preserve">  Dia da Dignidade Menstrual 
(COR VERMELHA)</t>
  </si>
  <si>
    <t>Campanha Internacional de Conscientização sobre o mês da Infertilidade
(COR LARANJA)</t>
  </si>
  <si>
    <t>PROJEÇÃO
Reunião do BRICS +</t>
  </si>
  <si>
    <t>Dia Mundial do Meio Ambiente- Junho Verde
(COR VERDE)</t>
  </si>
  <si>
    <t>PROJEÇÃO
Dia Mundial do Meio Ambiente</t>
  </si>
  <si>
    <t>Dia Nacional do Teste do Pezinho
(COR LILÁS/ ROXA)</t>
  </si>
  <si>
    <t>130 anos das relações diplomáticas e de amizade entre o Brasil e o Japão
(COR VERMELHA)</t>
  </si>
  <si>
    <t>Mês Mundial de Conscientização da Linfangioleiomiomatose
(COR ROSA)</t>
  </si>
  <si>
    <t>PROJEÇÃO
Campanha Nacional Contra a Exportação de Animais Vivos por Via Marítima" alinhada ao "Dia Mundial Contra o Transporte de Animais Vivos</t>
  </si>
  <si>
    <t>Dia Mundial do Doador de Sangue
(COR VERMELHA)</t>
  </si>
  <si>
    <t>Dia da Amiloide
(COR VERDE na Cúpula e
COR VERMELHA no Anexo I)</t>
  </si>
  <si>
    <t>Dia do Orgulho Autista
(COR AZUL)</t>
  </si>
  <si>
    <t>Dia Mundial do Refugiado
(COR AZUL)</t>
  </si>
  <si>
    <t>Conscientização da Doença XLH
(COR VERDE)</t>
  </si>
  <si>
    <t>PROJEÇÃO
Mês de Conscientização sobre 
a Fissura Labiopalatina</t>
  </si>
  <si>
    <t>PROJEÇÃO
Dia Nacional do Orgulho LGBTQIA +</t>
  </si>
  <si>
    <t>Dia Internacional da Fenilcetonúria
(COR AZUL)</t>
  </si>
  <si>
    <t>PROJEÇÃO
2 de Julho - Independência do Brasil na Bahia</t>
  </si>
  <si>
    <t>Movimento Julho Neon - Salve o Sorriso Brasileiro
(COR VERMELHA na Cúpula e
COR VERDE no Anexo I)</t>
  </si>
  <si>
    <t>Dia Mundial das Zoonoses
(COR VERDE)</t>
  </si>
  <si>
    <t>PROJEÇÃO
 Pré-COP 30 das Quebradeiras de Coco Babaçu e dos Povos e 
Comunidades Tradicionais</t>
  </si>
  <si>
    <t>Cuidados Precoces, Sorrisos para toda Vida
(COR LARANJA)</t>
  </si>
  <si>
    <t>Semana de Simulação da Politeia
(COR AZUL)</t>
  </si>
  <si>
    <t>Dia Internacional do Autocuidado
(COR AZUL)</t>
  </si>
  <si>
    <t>Dia Mundial de Luta Contra as Hepatites Virais
(COR AMARELA)</t>
  </si>
  <si>
    <t>Semana de Conscientização do Transtorno do Déficit de Atenção com Hiperatividade- TDAH
(COR LARANJA)</t>
  </si>
  <si>
    <t>Semana Mundial do Aleitamento Materno
(COR AMARELA)</t>
  </si>
  <si>
    <t>Agosto Dourado. Mês do Aleitamento
(COR AMARELA)</t>
  </si>
  <si>
    <t>Dia Mundial da Amamentação
(COR AMARELA)</t>
  </si>
  <si>
    <t>Mês do Aleitamento Materno / Mês Mundial da Amamentação
(COR AMARELA)</t>
  </si>
  <si>
    <t>Em Alusão à Lei Maria da Penha
(COR LILÁS)</t>
  </si>
  <si>
    <t>Promulgação da Lei Maria da Penha
(COR LILÁS)</t>
  </si>
  <si>
    <t>Campanha pelo fim da Violência Contra a Mulher
(COR LILÁS/ROXA)</t>
  </si>
  <si>
    <t>Agosto Lilás
(COR LILÁS/ROXA)</t>
  </si>
  <si>
    <t>"19 Anos da Lei Maria da Penha" e à campanha "Agosto Lilás"
(COR LILÁS/ROXA)</t>
  </si>
  <si>
    <t>Dia Nacional da Atrofia Muscular Espinhal - AME
(COR AZUL)</t>
  </si>
  <si>
    <t>Festival Internacional Curicaca
(COR ROXA)</t>
  </si>
  <si>
    <t>PROJEÇÃO
Festival Internacional Curicaca</t>
  </si>
  <si>
    <t>Abertura da Temporada França-Brasil 2025
(COR AZUL na Cúpula e
COR VERMELHA no Anexo I)</t>
  </si>
  <si>
    <t>Dia da Pessoa com Deficiência Intelectual
(COR LARANJA)</t>
  </si>
  <si>
    <t>Campanha de Conscientização da Primeira Infância
(COR VERDE)</t>
  </si>
  <si>
    <t>PROJEÇÃO
Mês Mundial da Prevenção e Controle do Colesterol</t>
  </si>
  <si>
    <t>Dia Internacional da Igualdade Feminina
(COR LARANJA)</t>
  </si>
  <si>
    <t>Dia Nacional de Conscientização sobre a Esclerose Múltipla
(COR LARANJA)</t>
  </si>
  <si>
    <t>Dia Nacional da Diálise
(COR VERMELHA na Cúpula e
COR AZUL no Anexo I)</t>
  </si>
  <si>
    <t>Dia Nacional do Nutricionista
(COR VERDE)</t>
  </si>
  <si>
    <t>PROJEÇÃO
Comemorações da Semana da Pátria</t>
  </si>
  <si>
    <t>Dia Mundial da Fibrose Cística
(COR ROXA)</t>
  </si>
  <si>
    <t>Setembro Roxo - Mês Nacional de Conscientização sobre a Fibrose Cística
(COR ROXA)</t>
  </si>
  <si>
    <t>Dia Internacional de Ação pela Igualdade da Mulher
(COR ROXA)</t>
  </si>
  <si>
    <t>Dia Internacional da Mulher Indígena
(COR AMARELA)</t>
  </si>
  <si>
    <t>Semana da Pátria
(COR AMARELA na Cúpula e
COR VERDE no Anexo I)</t>
  </si>
  <si>
    <t>Dia Mundial da Prevenção do Suicídio
(COR AMARELA)</t>
  </si>
  <si>
    <t>Campanha de Conscientização sobre a Prevenção do Suicídio
(COR AMARELA)</t>
  </si>
  <si>
    <t>Campanha de Prevenção ao Suicídio
(COR AMARELA)</t>
  </si>
  <si>
    <t>Setembro Amarelo- Conscientização e Prevenção ao Suicídio
(COR AMARELA)</t>
  </si>
  <si>
    <t>Dia Nacional da Fibrose Pulmonar Idiopática
(COR AZUL)</t>
  </si>
  <si>
    <t>Dia Mundial do Doador de Medula Óssea
(COR VERMELHA)</t>
  </si>
  <si>
    <t>PROJEÇÃO
Campanha Setembro em Flor, que tem como objetivo ampliar o conhecimento da população sobre os tumores que acometem o sistema reprodutor feminino</t>
  </si>
  <si>
    <t>Dia Nacional de Distrofias Musculares
(COR VERDE)</t>
  </si>
  <si>
    <t>Dia Nacional da Luta da Pessoa com Deficiência
(COR VERDE)</t>
  </si>
  <si>
    <t>Conscientização da Asfixia Perinatal
(COR VERDE)</t>
  </si>
  <si>
    <t>Dia Internacional Contra a Exploração Sexual e o Tráfico de Mulheres e Crianças
(COR AMARELA)</t>
  </si>
  <si>
    <t>Dia de Conscientização da Púrpura Trombocitopência (PTI) / Dia Nacional da Conscientização da Doença de Alzheimer
(COR ROXA)</t>
  </si>
  <si>
    <t>Mês Mundial de Conscientização  sobre o Alzheimer”
(COR ROXA)</t>
  </si>
  <si>
    <t>PROJEÇÃO
Dia do Pulmão</t>
  </si>
  <si>
    <t>Campanha Setembro Azul:
Dia Nacional do Atleta Paraolímpico /
Dia Mundial da Língua de Sinais
Dia Nacional do Surdo /
Dia Internacional do Surdo e do Intérprete
(COR AZUL)</t>
  </si>
  <si>
    <t>Aniversário do Sistema Único de Saúde
(COR AZUL)</t>
  </si>
  <si>
    <t>Dia Internacional contra a Exploração Sexual e o Tráfico de Mulheres e Crianças
(COR AZUL)</t>
  </si>
  <si>
    <t>Dia Marítimo Mundial
(COR AZUL)</t>
  </si>
  <si>
    <t>Dia Internacional das Ataxias
(COR AZUL)</t>
  </si>
  <si>
    <t>PROJEÇÃO
5ª Conferência 
Nacional de Políticas para as Mulheres – 5ª CNMP. 
Tema: Mais Democracia, Mais 
Igualdade, Mais Conquistas para Todas.</t>
  </si>
  <si>
    <t>Dia Mundial do Doador de Órgãos
(COR VERDE)</t>
  </si>
  <si>
    <t>Dia Nacional da Doação de Órgãos para Transplante. 
(COR VERDE)</t>
  </si>
  <si>
    <t xml:space="preserve">PROJEÇÃO
Dia Nacional da Doação de Órgãos para Transplante. </t>
  </si>
  <si>
    <t>PROJEÇÃO
Outubro Rosa</t>
  </si>
  <si>
    <t>Promulgação da Lei 9.100/95 que garante cotas para mulheres na Política
(COR ROXA)</t>
  </si>
  <si>
    <t>Dia Mundial da Paralisia Cerebral
(COR VERDE)</t>
  </si>
  <si>
    <t>Outubro  Roxo  -  A  luta  pela  vida  começa pela conscientização
(COR ROXA)</t>
  </si>
  <si>
    <t>Dia Nacional e Mundial da Saúde Mental
(COR BRANCA)</t>
  </si>
  <si>
    <t>Dia Nacional de Luta contra a Violência à Mulher e ao Dia Estadual de Combate e Enfrentamento à Violência Contra as Mulheres – Lei n° 7.258/2011 
(COR LILÁS/ ROXA)</t>
  </si>
  <si>
    <t>Dia Nacional de Luta contra a Violência à Mulher
(COR ROXA)</t>
  </si>
  <si>
    <t>PROJEÇÃO
Dia Mundial de Combate à Meningite</t>
  </si>
  <si>
    <t>PROJEÇÃO
Campanha Outubro Rosa</t>
  </si>
  <si>
    <t>Dia do Professor
(COR AZUL)</t>
  </si>
  <si>
    <t>Campanha Contra o Câncer de Mama e de Colo Uterino
(COR ROSA)</t>
  </si>
  <si>
    <t>Campanha Outubro Rosa
(COR ROSA)</t>
  </si>
  <si>
    <t>Outubro Rosa
(COR ROSA)</t>
  </si>
  <si>
    <t>Outubro Rosa: Mês de Conscientização sobre o 
Câncer de Mama
(COR ROSA)</t>
  </si>
  <si>
    <t xml:space="preserve"> Campanha Nacional de Imunização contra a Poliomielite
(COR VERMELHA)</t>
  </si>
  <si>
    <t>Dia Internacional Contra a Exploração da Mulher 
(COR LARANJA)</t>
  </si>
  <si>
    <t>Dia Nacional de Combate ao Preconceito contra as Pessoas com Nanismo
(COR VERDE)</t>
  </si>
  <si>
    <t xml:space="preserve">PROJEÇÃO
Dia do Servidor Público
</t>
  </si>
  <si>
    <t>PROJEÇÃO
Dia Nacional de Prevenção ao Acidente Vascular Cerebral (AVC)</t>
  </si>
  <si>
    <t>Dia Mundial da Amiloidose
(COR LARANJA)</t>
  </si>
  <si>
    <t>Dia do Aviador e da Força Aérea Brasileira
(COR AZUL na Cúpula e
COR BRANCA no Anexo I)</t>
  </si>
  <si>
    <t>Dia  Internacional  de  Conscientização  sobre  a 
Síndrome de Lennox-Gastaut (SLG)
(COR ROXA)</t>
  </si>
  <si>
    <t>Dia Mundial da Psoríase
(COR ROXA)</t>
  </si>
  <si>
    <t>Dia da Instituição do Direito de Voto da Mulher - 1930
(COR ROXA)</t>
  </si>
  <si>
    <t>Dia da Síndrome da Quilomicronemia Familiar - SQF
(COR VERMELHA)</t>
  </si>
  <si>
    <t>PROJEÇÃO
Início da COP 30</t>
  </si>
  <si>
    <t>PROJEÇÃO
Mês do Diabetes</t>
  </si>
  <si>
    <t>Campanha Novembro Azul / 
Dia da Pneumonia /
Dia da Amazônia Azul
(COR AZUL)</t>
  </si>
  <si>
    <t>Dia Mundial do Diabetes
(COR AZUL)</t>
  </si>
  <si>
    <t>Campanha 24 horas pelo diabetes
(COR AZUL)</t>
  </si>
  <si>
    <t>Dia Mundial do Diabetes Mellitus 
(COR AZUL)</t>
  </si>
  <si>
    <t>Campanha Novembrinho Azul – Prevenção e Vacinação contra o HPV
(COR AZUL)</t>
  </si>
  <si>
    <t>Dia Mundial da Ação de Erradicação do Câncer de Colo de Útero
(COR AZUL)</t>
  </si>
  <si>
    <t>Mês Internacional de Sensibilização para a Prematuridade
(COR ROXA)</t>
  </si>
  <si>
    <t>Dia Mundial da Prematuridade
(COR ROXA)</t>
  </si>
  <si>
    <t>Novembro Roxo - Conscientização sobre a Prematuridade
(COR ROXA)</t>
  </si>
  <si>
    <t>Dia da Homeopatia
(COR VERDE)</t>
  </si>
  <si>
    <t>PROJEÇÃO
Dia da Consciência Negra</t>
  </si>
  <si>
    <t>Dia Nacional de Zumbi e da Consciência Negra /
 Dia Internacional da Eliminação da Violência Contra a Mulher /
 21 Dias de Ativismo pelo Fim da Violência Contra a Mulher
(COR LARANJA)</t>
  </si>
  <si>
    <t xml:space="preserve"> 21 Dias de Ativismo pelo Fim da Violência Contra a Mulher / Dia Internacional Para a Eliminação da Violência Contra as Mulheres
(COR LARANJA)</t>
  </si>
  <si>
    <t>PROJEÇÃO
Dia dos Ostomizados</t>
  </si>
  <si>
    <t>Combate da Violência contra a Mulher
(COR ROXA)</t>
  </si>
  <si>
    <t xml:space="preserve"> Dia Nacional de Luta contra o Câncer de Mama
(COR ROSA)</t>
  </si>
  <si>
    <t>Dia Mundial de Luta contra a AIDS
(COR VERMELHA)</t>
  </si>
  <si>
    <t>Dia da Pessoa com Deficiência
(COR VERDE)</t>
  </si>
  <si>
    <t>Dia Internacional da Pessoa com Deficiência e Dia da Acessibilidade
(COR ROXA)</t>
  </si>
  <si>
    <t xml:space="preserve"> Dia Internacional dos Voluntários para o Desenvolvimento Econômico e Social 
(COR AZUL)</t>
  </si>
  <si>
    <t xml:space="preserve"> Dia Nacional de Mobilização dos Homens pelo Fim da Violência contra as Mulheres - Campanha do Laço Branco 
(COR BRANCA)</t>
  </si>
  <si>
    <t>PROJEÇÃO
21 Dias de Ativismo pelo fim da violência contra a mulher</t>
  </si>
  <si>
    <t>Dia Internacional dos Direitos Humanos e encerramento da campanha: "21 dias de ativismo pelo fim da violência contra a mulher"
(COR LARANJA)</t>
  </si>
  <si>
    <t>Dia do Engenheiro
(COR AZUL)</t>
  </si>
  <si>
    <t>04/08/2025
a
06/08/2025
(período original)</t>
  </si>
  <si>
    <t>07/08/2025
(período original)</t>
  </si>
  <si>
    <t>10/08/2025
a
13/08/2025
(período original)</t>
  </si>
  <si>
    <t>PELÍCULAS ENTREGUES
em 24/01/2025</t>
  </si>
  <si>
    <t xml:space="preserve">
PELÍCULAS ENTREGUES
em 04/02/2025</t>
  </si>
  <si>
    <t>PELÍCULAS ENTREGUES
em 14/02/2025</t>
  </si>
  <si>
    <t>PELÍCULAS ENTREGUES
em 25/02/2025</t>
  </si>
  <si>
    <t>PELÍCULAS ENTREGUES
em 07/03/2025</t>
  </si>
  <si>
    <t>PELÍCULAS ENTREGUES
em 12/03/2025</t>
  </si>
  <si>
    <t>PELÍCULAS ENTREGUES
em 18/03/2025</t>
  </si>
  <si>
    <t>NOTA FISCAL n° 331
00100.058821/2025-73</t>
  </si>
  <si>
    <t>EMITIDA em 19/03/2025
PAGA em 11/04/2025</t>
  </si>
  <si>
    <t>PELÍCULAS ENTREGUES
em 25/03/2025</t>
  </si>
  <si>
    <t>NOTA FISCAL n° 333
00100.056216/2025-68</t>
  </si>
  <si>
    <t>EMITIDA em 28/03/2025
PAGA em 03/04/2025</t>
  </si>
  <si>
    <t>PELÍCULAS ENTREGUES
em 02/04/2025</t>
  </si>
  <si>
    <t>CANCELADA</t>
  </si>
  <si>
    <t>PELÍCULAS ENTREGUES
em 08/04/2025</t>
  </si>
  <si>
    <t>PELÍCULAS ENTREGUES
em 09/04/2025</t>
  </si>
  <si>
    <t>ADIADA
FIFA ADIOU A DIVULGAÇÃO
INFORMAÇÕES DO PRÓPRIO GDF
PELÍCULAS ENTREGUES em 09/04/2025
Películas devolvidas no mesmo dia</t>
  </si>
  <si>
    <t>PELÍCULAS ENTREGUES
em 11/04/2025</t>
  </si>
  <si>
    <t>PELÍCULAS ENTREGUES
em 15/04/2025</t>
  </si>
  <si>
    <t>NOTA FISCAL n° 345
00100.076244/2025-00</t>
  </si>
  <si>
    <t>EMITIDA em 29/04/2025
PAGA em 05/05/2025</t>
  </si>
  <si>
    <t>PELÍCULAS ENTREGUES
em 28/04/2025</t>
  </si>
  <si>
    <t>PELÍCULAS ENTREGUES
em 06/05/2025</t>
  </si>
  <si>
    <t>PELÍCULAS ENTREGUES
em 07/05/2025</t>
  </si>
  <si>
    <t>PELÍCULAS ENTREGUES
em 12/05/2025</t>
  </si>
  <si>
    <t>PELÍCULAS ENTREGUES
em 16/05/2025</t>
  </si>
  <si>
    <t>PELÍCULAS ENTREGUES
em 28/05/2025</t>
  </si>
  <si>
    <t>PELÍCULAS ENTREGUES
em 02/06/2025</t>
  </si>
  <si>
    <t>NOTA FISCAL n° 370
00100.102504/2025-00</t>
  </si>
  <si>
    <t>EMITIDA em 07/06/2025
PAGA em 11/06/2025</t>
  </si>
  <si>
    <t>NOTA FISCAL n° 371
00100.102516/2025-26</t>
  </si>
  <si>
    <t>PELÍCULAS ENTREGUES
em 10/06/2025</t>
  </si>
  <si>
    <t>Liguei para a Raquel agora, 18h20 (12/06) e ela acredita que não haverá autorização da Câmara e, consequentemente, o Senado também não autorizará. (Isaura)</t>
  </si>
  <si>
    <t>PELÍCULAS ENTREGUES
em 13/06/2025</t>
  </si>
  <si>
    <t>PELÍCULAS ENTREGUES
em 13/06/2026</t>
  </si>
  <si>
    <t>PELÍCULAS ENTREGUES
em 18/06/2026</t>
  </si>
  <si>
    <t>PELÍCULAS ENTREGUES
em 18/06/2027</t>
  </si>
  <si>
    <t>PELÍCULAS ENTREGUES
em 27/06/2025</t>
  </si>
  <si>
    <t>PELÍCULAS ENTREGUES
em 02/07/2025</t>
  </si>
  <si>
    <t>PELÍCULAS ENTREGUES
em 07/07/2025</t>
  </si>
  <si>
    <t>CANCELADO</t>
  </si>
  <si>
    <t>PELÍCULAS ENTREGUES
em 14/07/2025</t>
  </si>
  <si>
    <t>PELÍCULAS ENTREGUES
em 18/07/2025</t>
  </si>
  <si>
    <t xml:space="preserve">PELÍCULAS ENTREGUES
em 18/07/2025
</t>
  </si>
  <si>
    <t xml:space="preserve">PELÍCULAS ENTREGUES
em 05/08/2025
</t>
  </si>
  <si>
    <t>PELÍCULAS ENTREGUES
em 05/08/2025</t>
  </si>
  <si>
    <t>ILUMINAÇÃO CANCELADA</t>
  </si>
  <si>
    <t>PELÍCULAS ENTREGUES
em 20/08/2025
Obs.: 00100.134156/2025-21
*Senador Romário cedeu o dia 21.
*Caso a Presidência da Câmara não autorize a iluminação, o Senado deverá ser iluminado de azul (Cúpula) e vermelho (Anexo I). 
Entretanto, se porventura a Presidência da Câmara autorizar o pleito, a Cúpula e Anexo I do Senado serão iluminados de azul e branco, respectivamente, enquanto o Anexo I e Cúpula da Câmara, iluminados de branco e vermelho, na devida ordem.</t>
  </si>
  <si>
    <t>PELÍCULAS ENTREGUES
em 20/08/2025</t>
  </si>
  <si>
    <t>PELÍCULAS ENTREGUES
em 26/08/2025</t>
  </si>
  <si>
    <t>PELÍCULAS ENTREGUES
em 05/09/2025</t>
  </si>
  <si>
    <t>PELÍCULAS ENTREGUES
em 12/09/2025</t>
  </si>
  <si>
    <t>PELÍCULAS ENTREGUES
em 17/09/2025</t>
  </si>
  <si>
    <t>PELÍCULAS ENTREGUES
em 17/09/2026</t>
  </si>
  <si>
    <t xml:space="preserve">
Autorização drone - 00100.174457/2025-98 (VIA 001)
</t>
  </si>
  <si>
    <t xml:space="preserve"> PELÍCULAS ENTREGUES
em 17/09/2025</t>
  </si>
  <si>
    <t xml:space="preserve"> PELÍCULAS ENTREGUES
em 08/10/2025</t>
  </si>
  <si>
    <t>COR BRANCA
(SEM PELÍCULAS)</t>
  </si>
  <si>
    <t>PELÍCULAS ENTREGUES
em 15/10/2025</t>
  </si>
  <si>
    <t xml:space="preserve">
Autorização filmagem com drone
00100.185197/2025-86 (VIA 001)
</t>
  </si>
  <si>
    <t>PELÍCULAS SEPARADAS
FALTA ENTREGAR</t>
  </si>
  <si>
    <t>PELÍCULAS ENTREGUES
em 17/10/2025</t>
  </si>
  <si>
    <t>PELÍCULAS SEPARADAS
FALTA FAZER RECIBO E ENTREGAR</t>
  </si>
  <si>
    <t>Roxo</t>
  </si>
  <si>
    <t>Preto</t>
  </si>
  <si>
    <t>Azul</t>
  </si>
  <si>
    <t>Verde</t>
  </si>
  <si>
    <t>Amarelo</t>
  </si>
  <si>
    <t>Rosa</t>
  </si>
  <si>
    <t>Vermelho</t>
  </si>
  <si>
    <t>Cinza</t>
  </si>
  <si>
    <t>Laranja</t>
  </si>
  <si>
    <t>Marrom</t>
  </si>
  <si>
    <t>Lilás</t>
  </si>
  <si>
    <t>Roxo Escuro</t>
  </si>
  <si>
    <t>Branco</t>
  </si>
  <si>
    <t>Não há.</t>
  </si>
  <si>
    <t>https://intra.senado.leg.br/sigad/novo/protocolo/impressao.asp?cod_protocolo=4185197&amp;area=processo</t>
  </si>
  <si>
    <t>https://intra.senado.leg.br/sigad/novo/protocolo/impressao.asp?cod_protocolo=4194913&amp;area=processo</t>
  </si>
  <si>
    <t>https://intra.senado.leg.br/sigad/novo/protocolo/impressao.asp?cod_protocolo=4203288&amp;area=processo</t>
  </si>
  <si>
    <t>https://intra.senado.leg.br/sigad/novo/protocolo/impressao.asp?cod_protocolo=4184491&amp;area=processo</t>
  </si>
  <si>
    <t>https://intra.senado.leg.br/sigad/novo/protocolo/impressao.asp?cod_protocolo=4106033&amp;area=processo</t>
  </si>
  <si>
    <t>https://intra.senado.leg.br/sigad/novo/protocolo/impressao.asp?cod_protocolo=4227195</t>
  </si>
  <si>
    <t>https://intra.senado.leg.br/sigad/novo/protocolo/impressao.asp?cod_protocolo=4202078&amp;area=processo</t>
  </si>
  <si>
    <t>https://intra.senado.leg.br/sigad/novo/protocolo/impressao.asp?cod_protocolo=4248168&amp;area=processo</t>
  </si>
  <si>
    <t>https://intra.senado.leg.br/sigad/novo/protocolo/impressao.asp?cod_protocolo=4101674&amp;area=processo</t>
  </si>
  <si>
    <t>https://intra.senado.leg.br/sigad/novo/protocolo/impressao.asp?cod_protocolo=4226197&amp;area=processo</t>
  </si>
  <si>
    <t>https://intra.senado.leg.br/sigad/novo/protocolo/impressao.asp?cod_protocolo=4262063&amp;area=processo</t>
  </si>
  <si>
    <t>https://intra.senado.leg.br/sigad/novo/protocolo/impressao.asp?cod_protocolo=4262772&amp;area=processo</t>
  </si>
  <si>
    <t>https://intra.senado.leg.br/sigad/novo/protocolo/impressao.asp?cod_protocolo=4229768&amp;area=processo</t>
  </si>
  <si>
    <t>https://intra.senado.leg.br/sigad/novo/protocolo/impressao.asp?cod_protocolo=4260604&amp;area=processo</t>
  </si>
  <si>
    <t>https://intra.senado.leg.br/sigad/novo/protocolo/impressao.asp?cod_protocolo=4268675&amp;area=processo</t>
  </si>
  <si>
    <t>https://intra.senado.leg.br/sigad/novo/protocolo/impressao.asp?cod_protocolo=4274050&amp;area=processo</t>
  </si>
  <si>
    <t>https://intra.senado.leg.br/sigad/novo/protocolo/impressao.asp?cod_protocolo=4277368&amp;area=processo</t>
  </si>
  <si>
    <t>https://intra.senado.leg.br/sigad/novo/protocolo/impressao.asp?cod_protocolo=4270750&amp;area=processo</t>
  </si>
  <si>
    <t>https://intra.senado.leg.br/sigad/novo/protocolo/impressao.asp?cod_protocolo=4269985&amp;area=processo</t>
  </si>
  <si>
    <t>https://intra.senado.leg.br/sigad/novo/protocolo/impressao.asp?cod_protocolo=4228774&amp;area=processo</t>
  </si>
  <si>
    <t>https://intra.senado.leg.br/sigad/novo/protocolo/impressao.asp?cod_protocolo=4254318&amp;area=processo</t>
  </si>
  <si>
    <t>https://intra.senado.leg.br/sigad/novo/protocolo/impressao.asp?cod_protocolo=4270544&amp;area=processo</t>
  </si>
  <si>
    <t>https://intra.senado.leg.br/sigad/novo/protocolo/impressao.asp?cod_protocolo=4276705&amp;area=processo</t>
  </si>
  <si>
    <t>https://intra.senado.leg.br/sigad/novo/protocolo/impressao.asp?cod_protocolo=4213562&amp;area=processo</t>
  </si>
  <si>
    <t>https://intra.senado.leg.br/sigad/novo/protocolo/impressao.asp?cod_protocolo=4245649&amp;area=processo</t>
  </si>
  <si>
    <t>https://intra.senado.leg.br/sigad/novo/protocolo/impressao.asp?cod_protocolo=4244901&amp;area=processo</t>
  </si>
  <si>
    <t>https://intra.senado.leg.br/sigad/novo/protocolo/impressao.asp?cod_protocolo=4245053&amp;area=processo</t>
  </si>
  <si>
    <t>https://intra.senado.leg.br/sigad/novo/protocolo/impressao.asp?cod_protocolo=4308919&amp;area=processo</t>
  </si>
  <si>
    <t>https://intra.senado.leg.br/sigad/novo/protocolo/impressao.asp?cod_protocolo=4271988&amp;area=processo</t>
  </si>
  <si>
    <t>https://intra.senado.leg.br/sigad/novo/protocolo/impressao.asp?cod_protocolo=4277567&amp;area=processo</t>
  </si>
  <si>
    <t>https://intra.senado.leg.br/sigad/novo/protocolo/impressao.asp?cod_protocolo=4335416&amp;area=processo</t>
  </si>
  <si>
    <t>https://intra.senado.leg.br/sigad/novo/protocolo/impressao.asp?cod_protocolo=4321238&amp;area=processo</t>
  </si>
  <si>
    <t>https://intra.senado.leg.br/sigad/novo/protocolo/impressao.asp?cod_protocolo=4226567&amp;area=processo</t>
  </si>
  <si>
    <t>https://intra.senado.leg.br/sigad/novo/protocolo/impressao.asp?cod_protocolo=4329047&amp;area=processo</t>
  </si>
  <si>
    <t>https://intra.senado.leg.br/sigad/novo/protocolo/impressao.asp?cod_protocolo=4329292&amp;area=processo</t>
  </si>
  <si>
    <t>https://intra.senado.leg.br/sigad/novo/protocolo/impressao.asp?cod_protocolo=4251642&amp;area=processo</t>
  </si>
  <si>
    <t>https://intra.senado.leg.br/sigad/novo/protocolo/impressao.asp?cod_protocolo=4252391&amp;area=processo</t>
  </si>
  <si>
    <t>https://intra.senado.leg.br/sigad/novo/protocolo/impressao.asp?cod_protocolo=4287592&amp;area=processo</t>
  </si>
  <si>
    <t>https://intra.senado.leg.br/sigad/novo/protocolo/impressao.asp?cod_protocolo=4347011&amp;area=processo</t>
  </si>
  <si>
    <t>https://intra.senado.leg.br/sigad/novo/protocolo/impressao.asp?cod_protocolo=4352531&amp;area=processo</t>
  </si>
  <si>
    <t>https://intra.senado.leg.br/sigad/novo/protocolo/impressao.asp?cod_protocolo=4238654&amp;area=processo</t>
  </si>
  <si>
    <t>https://intra.senado.leg.br/sigad/novo/protocolo/impressao.asp?cod_protocolo=4351267&amp;area=processo</t>
  </si>
  <si>
    <t>https://intra.senado.leg.br/sigad/novo/protocolo/impressao.asp?cod_protocolo=4364142&amp;area=processo</t>
  </si>
  <si>
    <t>https://intra.senado.leg.br/sigad/visualizador/PdfJs/web/viewer.html?cod_protocolo=4355825&amp;cod_pagina=&amp;cod_usuario=82996&amp;cod_orgao=9694&amp;token=HRWVLG0D1MC3W85</t>
  </si>
  <si>
    <t>https://intra.senado.leg.br/sigad/novo/protocolo/impressao.asp?cod_protocolo=4367778&amp;area=processo</t>
  </si>
  <si>
    <t>https://intra.senado.leg.br/sigad/novo/protocolo/impressao.asp?cod_protocolo=4346018&amp;area=processo</t>
  </si>
  <si>
    <t>https://intra.senado.leg.br/sigad/novo/protocolo/impressao.asp?cod_protocolo=4229847&amp;area=processo</t>
  </si>
  <si>
    <t>https://intra.senado.leg.br/sigad/novo/protocolo/impressao.asp?cod_protocolo=4330099&amp;area=processo</t>
  </si>
  <si>
    <t>https://intra.senado.leg.br/sigad/visualizador/PdfJs/web/viewer.html?cod_protocolo=4360332&amp;cod_pagina=&amp;cod_usuario=82996&amp;cod_orgao=9694&amp;token=OKHCHVF3XRDPT3Q</t>
  </si>
  <si>
    <t>https://intra.senado.leg.br/sigad/novo/protocolo/impressao.asp?cod_protocolo=4382452&amp;area=processo</t>
  </si>
  <si>
    <t>https://intra.senado.leg.br/sigad/novo/protocolo/impressao.asp?cod_protocolo=4367243&amp;area=processo</t>
  </si>
  <si>
    <t>https://intra.senado.leg.br/sigad/novo/protocolo/impressao.asp?cod_protocolo=4396301&amp;area=processo</t>
  </si>
  <si>
    <t>https://intra.senado.leg.br/sigad/novo/protocolo/impressao.asp?cod_protocolo=4402059&amp;area=processo</t>
  </si>
  <si>
    <t>https://intra.senado.leg.br/sigad/novo/protocolo/impressao.asp?cod_protocolo=4404596&amp;area=processo</t>
  </si>
  <si>
    <t>https://intra.senado.leg.br/sigad/novo/protocolo/impressao.asp?cod_protocolo=4406206&amp;area=processo</t>
  </si>
  <si>
    <t>https://intra.senado.leg.br/sigad/novo/protocolo/impressao.asp?cod_protocolo=4417779&amp;area=processo</t>
  </si>
  <si>
    <t>https://intra.senado.leg.br/sigad/novo/protocolo/impressao.asp?cod_protocolo=4423211&amp;area=processo</t>
  </si>
  <si>
    <t>https://intra.senado.leg.br/sigad/novo/protocolo/impressao.asp?cod_protocolo=4416641&amp;area=processo</t>
  </si>
  <si>
    <t>https://intra.senado.leg.br/sigad/novo/protocolo/impressao.asp?cod_protocolo=4363164&amp;area=processo</t>
  </si>
  <si>
    <t>https://intra.senado.leg.br/sigad/visualizador/PdfJs/web/viewer.html?cod_protocolo=4424941&amp;cod_pagina=&amp;cod_usuario=82996&amp;cod_orgao=9694&amp;token=11B2QYPNV1CIBX6</t>
  </si>
  <si>
    <t>https://intra.senado.leg.br/sigad/protocolo/impressao_arquivo.asp?cod_protocolo=4438603&amp;area=processo</t>
  </si>
  <si>
    <t>https://intra.senado.leg.br/sigad/novo/protocolo/impressao.asp?cod_protocolo=4424781&amp;area=processo</t>
  </si>
  <si>
    <t>https://intra.senado.leg.br/sigad/novo/protocolo/impressao.asp?cod_protocolo=4430836&amp;area=processo</t>
  </si>
  <si>
    <t>https://intra.senado.leg.br/sigad/novo/protocolo/impressao.asp?cod_protocolo=4415442&amp;area=processo</t>
  </si>
  <si>
    <t>https://intra.senado.leg.br/sigad/novo/protocolo/impressao.asp?cod_protocolo=4421489&amp;area=processo</t>
  </si>
  <si>
    <t>https://intra.senado.leg.br/sigad/novo/protocolo/impressao.asp?cod_protocolo=4441426&amp;area=processo</t>
  </si>
  <si>
    <t>https://intra.senado.leg.br/sigad/novo/protocolo/impressao.asp?cod_protocolo=4436786&amp;area=processo</t>
  </si>
  <si>
    <t>https://intra.senado.leg.br/sigad/novo/protocolo/impressao.asp?cod_protocolo=4448321&amp;area=processo</t>
  </si>
  <si>
    <t>https://intra.senado.leg.br/sigad/novo/protocolo/impressao.asp?cod_protocolo=4454723&amp;area=processo</t>
  </si>
  <si>
    <t>https://intra.senado.leg.br/sigad/novo/protocolo/impressao.asp?cod_protocolo=4399267&amp;area=processo</t>
  </si>
  <si>
    <t>https://intra.senado.leg.br/sigad/novo/protocolo/impressao.asp?cod_protocolo=4465131&amp;area=processo</t>
  </si>
  <si>
    <t>https://intra.senado.leg.br/sigad/novo/protocolo/impressao.asp?cod_protocolo=4262638&amp;area=processo</t>
  </si>
  <si>
    <t>https://intra.senado.leg.br/sigad/novo/protocolo/impressao.asp?cod_protocolo=4395465&amp;area=processo</t>
  </si>
  <si>
    <t>https://intra.senado.leg.br/sigad/visualizador/PdfJs/web/viewer.html?cod_protocolo=4426360&amp;cod_pagina=&amp;cod_usuario=82996&amp;cod_orgao=9694&amp;token=7FK7O1WYBMXLGE5</t>
  </si>
  <si>
    <t>https://intra.senado.leg.br/sigad/novo/protocolo/impressao.asp?cod_protocolo=4479729&amp;area=processo</t>
  </si>
  <si>
    <t>https://intra.senado.leg.br/sigad/novo/protocolo/impressao.asp?cod_protocolo=4478399&amp;area=processo</t>
  </si>
  <si>
    <t>https://intra.senado.leg.br/sigad/novo/protocolo/impressao.asp?cod_protocolo=4496323&amp;area=processo</t>
  </si>
  <si>
    <t>https://intra.senado.leg.br/sigad/novo/protocolo/impressao.asp?cod_protocolo=4495486</t>
  </si>
  <si>
    <t>https://intra.senado.leg.br/sigad/novo/protocolo/impressao.asp?cod_protocolo=4403398&amp;area=processo</t>
  </si>
  <si>
    <t>https://intra.senado.leg.br/sigad/novo/protocolo/impressao.asp?cod_protocolo=4461593&amp;area=processo</t>
  </si>
  <si>
    <t>https://intra.senado.leg.br/sigad/novo/protocolo/impressao.asp?cod_protocolo=4495813&amp;area=processo</t>
  </si>
  <si>
    <t>https://intra.senado.leg.br/sigad/novo/protocolo/impressao.asp?cod_protocolo=4465753&amp;area=processo</t>
  </si>
  <si>
    <t>https://intra.senado.leg.br/sigad/novo/protocolo/impressao.asp?cod_protocolo=4491465&amp;area=processo</t>
  </si>
  <si>
    <t>https://intra.senado.leg.br/sigad/novo/protocolo/impressao.asp?cod_protocolo=4507912&amp;area=processo</t>
  </si>
  <si>
    <t>https://intra.senado.leg.br/sigad/novo/protocolo/impressao.asp?cod_protocolo=4474226&amp;area=processo</t>
  </si>
  <si>
    <t>https://intra.senado.leg.br/sigad/novo/protocolo/impressao.asp?cod_protocolo=4467884&amp;area=processo</t>
  </si>
  <si>
    <t>https://intra.senado.leg.br/sigad/novo/protocolo/impressao.asp?cod_protocolo=4477362&amp;area=processo</t>
  </si>
  <si>
    <t>https://intra.senado.leg.br/sigad/novo/protocolo/impressao.asp?cod_protocolo=4457854&amp;area=processo</t>
  </si>
  <si>
    <t>https://intra.senado.leg.br/sigad/novo/protocolo/impressao.asp?cod_protocolo=4515236&amp;area=processo</t>
  </si>
  <si>
    <t>https://intra.senado.leg.br/sigad/novo/protocolo/impressao.asp?cod_protocolo=4452867&amp;area=processo</t>
  </si>
  <si>
    <t>https://intra.senado.leg.br/sigad/novo/protocolo/impressao.asp?cod_protocolo=4533882&amp;area=processo</t>
  </si>
  <si>
    <t>https://intra.senado.leg.br/sigad/novo/protocolo/impressao.asp?cod_protocolo=4524510</t>
  </si>
  <si>
    <t>https://intra.senado.leg.br/sigad/novo/protocolo/impressao.asp?cod_protocolo=4536984&amp;area=processo</t>
  </si>
  <si>
    <t>https://intra.senado.leg.br/sigad/novo/protocolo/impressao.asp?cod_protocolo=4529411&amp;area=processo</t>
  </si>
  <si>
    <t>https://intra.senado.leg.br/sigad/novo/protocolo/impressao.asp?cod_protocolo=4521954&amp;area=processo</t>
  </si>
  <si>
    <t>https://intra.senado.leg.br/sigad/novo/protocolo/impressao.asp?cod_protocolo=4497692&amp;area=processo</t>
  </si>
  <si>
    <t>https://intra.senado.leg.br/sigad/novo/protocolo/impressao.asp?cod_protocolo=4500112&amp;area=processo</t>
  </si>
  <si>
    <t>https://intra.senado.leg.br/sigad/novo/protocolo/impressao.asp?cod_protocolo=4509982&amp;area=processo</t>
  </si>
  <si>
    <t>https://intra.senado.leg.br/sigad/novo/protocolo/impressao.asp?cod_protocolo=4498200&amp;area=processo</t>
  </si>
  <si>
    <t>https://intra.senado.leg.br/sigad/novo/protocolo/impressao.asp?area=processo&amp;cod_protocolo=4195411&amp;cod_frente_verso=&amp;cod_juntada=&amp;txt_funcao=</t>
  </si>
  <si>
    <t>https://intra.senado.leg.br/sigad/novo/protocolo/impressao.asp?area=processo&amp;cod_protocolo=4208986&amp;cod_frente_verso=&amp;cod_juntada=&amp;txt_funcao=</t>
  </si>
  <si>
    <t>https://intra.senado.leg.br/sigad/novo/protocolo/impressao.asp?area=processo&amp;cod_protocolo=4223434&amp;cod_frente_verso=&amp;cod_juntada=&amp;txt_funcao=</t>
  </si>
  <si>
    <t>https://intra.senado.leg.br/sigad/novo/protocolo/impressao.asp?cod_protocolo=4112999&amp;area=documento</t>
  </si>
  <si>
    <t>https://intra.senado.leg.br/sigad/novo/protocolo/impressao.asp?area=processo&amp;cod_protocolo=4236444&amp;cod_frente_verso=&amp;cod_juntada=&amp;txt_funcao=</t>
  </si>
  <si>
    <t>https://intra.senado.leg.br/sigad/novo/protocolo/impressao.asp?area=processo&amp;cod_protocolo=4223531&amp;cod_frente_verso=&amp;cod_juntada=&amp;txt_funcao=</t>
  </si>
  <si>
    <t>https://intra.senado.leg.br/sigad/novo/protocolo/impressao.asp?area=processo&amp;cod_protocolo=4248465&amp;cod_frente_verso=&amp;cod_juntada=&amp;txt_funcao=</t>
  </si>
  <si>
    <t>https://intra.senado.leg.br/sigad/novo/protocolo/impressao.asp?cod_protocolo=4245944&amp;area=documento</t>
  </si>
  <si>
    <t>https://intra.senado.leg.br/sigad/novo/protocolo/impressao.asp?cod_protocolo=4241693&amp;area=documento</t>
  </si>
  <si>
    <t>https://intra.senado.leg.br/sigad/novo/protocolo/impressao.asp?area=processo&amp;cod_protocolo=4227921&amp;cod_frente_verso=&amp;cod_juntada=&amp;txt_funcao=</t>
  </si>
  <si>
    <t>https://intra.senado.leg.br/sigad/novo/protocolo/impressao.asp?area=processo&amp;cod_protocolo=4263004&amp;cod_frente_verso=&amp;cod_juntada=&amp;txt_funcao=</t>
  </si>
  <si>
    <t>https://intra.senado.leg.br/sigad/novo/protocolo/impressao.asp?cod_protocolo=4241700&amp;area=documento</t>
  </si>
  <si>
    <t>https://intra.senado.leg.br/sigad/novo/protocolo/impressao.asp?area=processo&amp;cod_protocolo=4264211&amp;cod_frente_verso=&amp;cod_juntada=&amp;txt_funcao=</t>
  </si>
  <si>
    <t>https://intra.senado.leg.br/sigad/novo/protocolo/impressao.asp?area=processo&amp;cod_protocolo=4268746&amp;cod_frente_verso=&amp;cod_juntada=&amp;txt_funcao=</t>
  </si>
  <si>
    <t>https://intra.senado.leg.br/sigad/novo/protocolo/impressao.asp?area=processo&amp;cod_protocolo=4274089&amp;cod_frente_verso=&amp;cod_juntada=&amp;txt_funcao=</t>
  </si>
  <si>
    <t>https://intra.senado.leg.br/sigad/novo/protocolo/impressao.asp?area=processo&amp;cod_protocolo=4279688&amp;cod_frente_verso=&amp;cod_juntada=&amp;txt_funcao=</t>
  </si>
  <si>
    <t>https://intra.senado.leg.br/sigad/novo/protocolo/impressao.asp?area=processo&amp;cod_protocolo=4270771&amp;cod_frente_verso=&amp;cod_juntada=&amp;txt_funcao=</t>
  </si>
  <si>
    <t>https://intra.senado.leg.br/sigad/novo/protocolo/impressao.asp?area=processo&amp;cod_protocolo=4269913&amp;cod_frente_verso=&amp;cod_juntada=&amp;txt_funcao=</t>
  </si>
  <si>
    <t>https://intra.senado.leg.br/sigad/novo/protocolo/impressao.asp?cod_protocolo=4289676&amp;area=documento</t>
  </si>
  <si>
    <t>https://intra.senado.leg.br/sigad/novo/protocolo/impressao.asp?cod_protocolo=4241698&amp;area=documento</t>
  </si>
  <si>
    <t>https://intra.senado.leg.br/sigad/novo/protocolo/impressao.asp?area=processo&amp;cod_protocolo=4304053&amp;cod_frente_verso=&amp;cod_juntada=&amp;txt_funcao=</t>
  </si>
  <si>
    <t>https://intra.senado.leg.br/sigad/novo/protocolo/impressao.asp?area=processo&amp;cod_protocolo=4270588&amp;cod_frente_verso=&amp;cod_juntada=&amp;txt_funcao=</t>
  </si>
  <si>
    <t>https://intra.senado.leg.br/sigad/novo/protocolo/impressao.asp?area=processo&amp;cod_protocolo=4276835&amp;cod_frente_verso=&amp;cod_juntada=&amp;txt_funcao=</t>
  </si>
  <si>
    <t>https://intra.senado.leg.br/sigad/novo/protocolo/impressao.asp?area=processo&amp;cod_protocolo=4308489&amp;cod_frente_verso=&amp;cod_juntada=&amp;txt_funcao=</t>
  </si>
  <si>
    <t>https://intra.senado.leg.br/sigad/novo/protocolo/impressao.asp?area=processo&amp;cod_protocolo=4245855&amp;cod_frente_verso=&amp;cod_juntada=&amp;txt_funcao=</t>
  </si>
  <si>
    <t>https://intra.senado.leg.br/sigad/novo/protocolo/impressao.asp?cod_protocolo=4244919&amp;area=documento</t>
  </si>
  <si>
    <t>https://intra.senado.leg.br/sigad/novo/protocolo/impressao.asp?area=processo&amp;cod_protocolo=4324901&amp;cod_frente_verso=&amp;cod_juntada=&amp;txt_funcao=</t>
  </si>
  <si>
    <t>https://intra.senado.leg.br/sigad/novo/protocolo/impressao.asp?area=processo&amp;cod_protocolo=4272112&amp;cod_frente_verso=&amp;cod_juntada=&amp;txt_funcao=</t>
  </si>
  <si>
    <t>https://intra.senado.leg.br/sigad/novo/protocolo/impressao.asp?area=processo&amp;cod_protocolo=4277686&amp;cod_frente_verso=&amp;cod_juntada=&amp;txt_funcao=</t>
  </si>
  <si>
    <t>https://intra.senado.leg.br/sigad/novo/protocolo/impressao.asp?area=processo&amp;cod_protocolo=4335657&amp;cod_frente_verso=&amp;cod_juntada=&amp;txt_funcao=</t>
  </si>
  <si>
    <t>https://intra.senado.leg.br/sigad/novo/protocolo/impressao.asp?area=processo&amp;cod_protocolo=4321644&amp;cod_frente_verso=&amp;cod_juntada=&amp;txt_funcao=</t>
  </si>
  <si>
    <t>https://intra.senado.leg.br/sigad/novo/protocolo/impressao.asp?cod_protocolo=4241695&amp;area=documento</t>
  </si>
  <si>
    <t>https://intra.senado.leg.br/sigad/novo/protocolo/impressao.asp?area=processo&amp;cod_protocolo=4334300&amp;cod_frente_verso=&amp;cod_juntada=&amp;txt_funcao=</t>
  </si>
  <si>
    <t>https://intra.senado.leg.br/sigad/novo/protocolo/impressao.asp?area=processo&amp;cod_protocolo=4333088&amp;cod_frente_verso=&amp;cod_juntada=&amp;txt_funcao=</t>
  </si>
  <si>
    <t>https://intra.senado.leg.br/sigad/novo/protocolo/impressao.asp?area=processo&amp;cod_protocolo=4351914&amp;cod_frente_verso=&amp;cod_juntada=&amp;txt_funcao=</t>
  </si>
  <si>
    <t>https://intra.senado.leg.br/sigad/novo/protocolo/impressao.asp?area=processo&amp;cod_protocolo=4252338&amp;cod_frente_verso=&amp;cod_juntada=&amp;txt_funcao=</t>
  </si>
  <si>
    <t>https://intra.senado.leg.br/sigad/novo/protocolo/impressao.asp?area=processo&amp;cod_protocolo=4339847&amp;cod_frente_verso=&amp;cod_juntada=&amp;txt_funcao=</t>
  </si>
  <si>
    <t>https://intra.senado.leg.br/sigad/novo/protocolo/impressao.asp?area=processo&amp;cod_protocolo=4252455&amp;cod_frente_verso=&amp;cod_juntada=&amp;txt_funcao=</t>
  </si>
  <si>
    <t>https://intra.senado.leg.br/sigad/novo/protocolo/impressao.asp?area=documento&amp;cod_protocolo=4289718</t>
  </si>
  <si>
    <t>https://intra.senado.leg.br/sigad/novo/protocolo/impressao.asp?area=processo&amp;cod_protocolo=4348671&amp;cod_frente_verso=&amp;cod_juntada=&amp;txt_funcao=</t>
  </si>
  <si>
    <t>https://intra.senado.leg.br/sigad/novo/protocolo/impressao.asp?area=processo&amp;cod_protocolo=4321952&amp;cod_frente_verso=&amp;cod_juntada=&amp;txt_funcao=</t>
  </si>
  <si>
    <t>https://intra.senado.leg.br/sigad/novo/protocolo/impressao.asp?area=processo&amp;cod_protocolo=4350304&amp;cod_frente_verso=&amp;cod_juntada=&amp;txt_funcao=</t>
  </si>
  <si>
    <t>https://intra.senado.leg.br/sigad/novo/protocolo/impressao.asp?area=processo&amp;cod_protocolo=4362901&amp;cod_frente_verso=&amp;cod_juntada=&amp;txt_funcao=</t>
  </si>
  <si>
    <t>https://intra.senado.leg.br/sigad/novo/protocolo/impressao.asp?cod_protocolo=4245916&amp;area=documento</t>
  </si>
  <si>
    <t>https://intra.senado.leg.br/sigad/protocolo/impressao_arquivo.asp?cod_protocolo=4351929&amp;area=documento</t>
  </si>
  <si>
    <t>https://intra.senado.leg.br/sigad/novo/protocolo/impressao.asp?area=processo&amp;cod_protocolo=4369348&amp;cod_frente_verso=&amp;cod_juntada=&amp;txt_funcao=</t>
  </si>
  <si>
    <t>https://intra.senado.leg.br/sigad/novo/protocolo/impressao.asp?cod_protocolo=4356242&amp;area=documento</t>
  </si>
  <si>
    <t>https://intra.senado.leg.br/sigad/novo/protocolo/impressao.asp?area=processo&amp;cod_protocolo=4368768&amp;cod_frente_verso=&amp;cod_juntada=&amp;txt_funcao=</t>
  </si>
  <si>
    <t>https://intra.senado.leg.br/sigad/novo/protocolo/impressao.asp?area=processo&amp;cod_protocolo=4350235&amp;cod_frente_verso=&amp;cod_juntada=&amp;txt_funcao=</t>
  </si>
  <si>
    <t>https://intra.senado.leg.br/sigad/novo/protocolo/impressao.asp?cod_protocolo=4241701&amp;area=documento</t>
  </si>
  <si>
    <t>https://intra.senado.leg.br/sigad/visualizador/PdfJs/web/viewer.html?cod_protocolo=4361230&amp;cod_pagina=&amp;cod_usuario=82996&amp;cod_orgao=9694&amp;token=OKHCHVF3XRDPT3Q</t>
  </si>
  <si>
    <t>https://intra.senado.leg.br/sigad/novo/protocolo/impressao.asp?area=processo&amp;cod_protocolo=4386762&amp;cod_frente_verso=&amp;cod_juntada=&amp;txt_funcao=</t>
  </si>
  <si>
    <t>https://intra.senado.leg.br/sigad/novo/protocolo/impressao.asp?area=processo&amp;cod_protocolo=4372269&amp;cod_frente_verso=&amp;cod_juntada=&amp;txt_funcao=</t>
  </si>
  <si>
    <t>https://intra.senado.leg.br/sigad/protocolo/arquivar.asp?cod_protocolo=4398259&amp;area=processo&amp;txt_funcao=sobrestar</t>
  </si>
  <si>
    <t>https://intra.senado.leg.br/sigad/novo/protocolo/impressao.asp?area=processo&amp;cod_protocolo=4403997&amp;cod_frente_verso=&amp;cod_juntada=&amp;txt_funcao=</t>
  </si>
  <si>
    <t>https://intra.senado.leg.br/sigad/novo/protocolo/impressao.asp?area=processo&amp;cod_protocolo=4406871&amp;cod_frente_verso=&amp;cod_juntada=&amp;txt_funcao=</t>
  </si>
  <si>
    <t>https://intra.senado.leg.br/sigad/novo/protocolo/impressao.asp?area=processo&amp;cod_protocolo=4406546&amp;cod_frente_verso=&amp;cod_juntada=&amp;txt_funcao=</t>
  </si>
  <si>
    <t>https://intra.senado.leg.br/sigad/novo/protocolo/impressao.asp?area=processo&amp;cod_protocolo=4417988&amp;cod_frente_verso=&amp;cod_juntada=&amp;txt_funcao=</t>
  </si>
  <si>
    <t>https://intra.senado.leg.br/sigad/novo/protocolo/impressao.asp?area=processo&amp;cod_protocolo=4423392&amp;cod_frente_verso=&amp;cod_juntada=&amp;txt_funcao=</t>
  </si>
  <si>
    <t>https://intra.senado.leg.br/sigad/novo/protocolo/impressao.asp?area=processo&amp;cod_protocolo=4416710&amp;cod_frente_verso=&amp;cod_juntada=&amp;txt_funcao=</t>
  </si>
  <si>
    <t>https://intra.senado.leg.br/sigad/novo/protocolo/impressao.asp?area=processo&amp;cod_protocolo=4364865&amp;cod_frente_verso=&amp;cod_juntada=&amp;txt_funcao=</t>
  </si>
  <si>
    <t>https://intra.senado.leg.br/sigad/visualizador/PdfJs/web/viewer.html?cod_protocolo=4434850&amp;cod_pagina=&amp;cod_usuario=76880&amp;cod_orgao=9694&amp;token=0EDF2SUAW7023EF</t>
  </si>
  <si>
    <t>https://intra.senado.leg.br/sigad/visualizador/PdfJs/web/viewer.html?cod_protocolo=4437034&amp;cod_pagina=&amp;cod_usuario=76880&amp;cod_orgao=9694&amp;token=E17T6GVD9FH2WEV</t>
  </si>
  <si>
    <t>https://intra.senado.leg.br/sigad/visualizador/PdfJs/web/viewer.html?cod_protocolo=4438810&amp;cod_pagina=&amp;cod_usuario=76880&amp;cod_orgao=9694&amp;token=6HH1HTUYTHYL6YC</t>
  </si>
  <si>
    <t>https://intra.senado.leg.br/sigad/visualizador/PdfJs/web/viewer.html?cod_protocolo=4443155&amp;cod_pagina=&amp;cod_usuario=76880&amp;cod_orgao=9694&amp;token=MLKKJNAW7X1653X</t>
  </si>
  <si>
    <t>https://intra.senado.leg.br/sigad/visualizador/PdfJs/web/viewer.html?cod_protocolo=4437214&amp;cod_pagina=&amp;cod_usuario=76880&amp;cod_orgao=9694&amp;token=UBBJUSJ6F32VSP6</t>
  </si>
  <si>
    <t>https://intra.senado.leg.br/sigad/novo/protocolo/impressao.asp?area=processo&amp;cod_protocolo=4415708&amp;cod_frente_verso=&amp;cod_juntada=&amp;txt_funcao=</t>
  </si>
  <si>
    <t>https://intra.senado.leg.br/sigad/novo/protocolo/impressao.asp?area=processo&amp;cod_protocolo=4421604&amp;cod_frente_verso=&amp;cod_juntada=&amp;txt_funcao=</t>
  </si>
  <si>
    <t>https://intra.senado.leg.br/sigad/novo/protocolo/impressao.asp?area=processo&amp;cod_protocolo=4443609&amp;cod_frente_verso=&amp;cod_juntada=&amp;txt_funcao=</t>
  </si>
  <si>
    <t>https://intra.senado.leg.br/sigad/novo/protocolo/impressao.asp?area=processo&amp;cod_protocolo=4443616&amp;cod_frente_verso=&amp;cod_juntada=&amp;txt_funcao=</t>
  </si>
  <si>
    <t>https://intra.senado.leg.br/sigad/novo/protocolo/impressao.asp?cod_protocolo=4454933&amp;area=documento</t>
  </si>
  <si>
    <t>https://intra.senado.leg.br/sigad/novo/protocolo/impressao.asp?area=processo&amp;cod_protocolo=4470066&amp;cod_frente_verso=&amp;cod_juntada=&amp;txt_funcao=</t>
  </si>
  <si>
    <t>https://intra.senado.leg.br/sigad/novo/protocolo/impressao.asp?area=processo&amp;cod_protocolo=4404006&amp;cod_frente_verso=&amp;cod_juntada=&amp;txt_funcao=</t>
  </si>
  <si>
    <t>https://intra.senado.leg.br/sigad/novo/protocolo/impressao.asp?area=processo&amp;cod_protocolo=4469345&amp;cod_frente_verso=&amp;cod_juntada=&amp;txt_funcao=</t>
  </si>
  <si>
    <t>https://intra.senado.leg.br/sigad/novo/protocolo/impressao.asp?cod_protocolo=4446197</t>
  </si>
  <si>
    <t>https://intra.senado.leg.br/sigad/novo/protocolo/impressao.asp?area=processo&amp;cod_protocolo=4262721&amp;cod_frente_verso=&amp;cod_juntada=&amp;txt_funcao=</t>
  </si>
  <si>
    <t>https://intra.senado.leg.br/sigad/protocolo/impressao_arquivo.asp?cod_protocolo=4487853&amp;area=documento</t>
  </si>
  <si>
    <t>https://intra.senado.leg.br/sigad/novo/protocolo/impressao.asp?area=processo&amp;cod_protocolo=4397689&amp;cod_frente_verso=&amp;cod_juntada=&amp;txt_funcao=</t>
  </si>
  <si>
    <t>https://intra.senado.leg.br/sigad/visualizador/PdfJs/web/viewer.html?cod_protocolo=4437250&amp;cod_pagina=&amp;cod_usuario=76880&amp;cod_orgao=9694&amp;token=GPEFVROKM99T495</t>
  </si>
  <si>
    <t>https://intra.senado.leg.br/sigad/visualizador/PdfJs/web/viewer.html?cod_protocolo=4438542&amp;cod_pagina=&amp;cod_usuario=76880&amp;cod_orgao=9694&amp;token=849WBU6W9I07EB6</t>
  </si>
  <si>
    <t>https://intra.senado.leg.br/sigad/novo/protocolo/impressao.asp?area=processo&amp;cod_protocolo=4483965&amp;cod_frente_verso=&amp;cod_juntada=&amp;txt_funcao=</t>
  </si>
  <si>
    <t>https://intra.senado.leg.br/sigad/novo/protocolo/impressao.asp?area=processo&amp;cod_protocolo=4483968&amp;cod_frente_verso=&amp;cod_juntada=&amp;txt_funcao=</t>
  </si>
  <si>
    <t>https://intra.senado.leg.br/sigad/visualizador/PdfJs/web/viewer.html?cod_protocolo=4496620&amp;cod_pagina=&amp;cod_usuario=76880&amp;cod_orgao=9694&amp;token=WE940VOC05JAXAG</t>
  </si>
  <si>
    <t>https://intra.senado.leg.br/sigad/visualizador/PdfJs/web/viewer.html?cod_protocolo=4497565&amp;cod_pagina=&amp;cod_usuario=76880&amp;cod_orgao=9694&amp;token=T0EYQRR2VCDJYTY</t>
  </si>
  <si>
    <t>https://intra.senado.leg.br/sigad/visualizador/PdfJs/web/viewer.html?cod_protocolo=4499674&amp;cod_pagina=&amp;cod_usuario=76880&amp;cod_orgao=9694&amp;token=LNJ8T2I36H28RWC</t>
  </si>
  <si>
    <t>https://intra.senado.leg.br/sigad/novo/protocolo/impressao.asp?area=processo&amp;cod_protocolo=4404676&amp;cod_frente_verso=&amp;cod_juntada=&amp;txt_funcao=</t>
  </si>
  <si>
    <t>https://intra.senado.leg.br/sigad/novo/protocolo/impressao.asp?area=processo&amp;cod_protocolo=4469356&amp;cod_frente_verso=&amp;cod_juntada=&amp;txt_funcao=</t>
  </si>
  <si>
    <t>https://intra.senado.leg.br/sigad/visualizador/PdfJs/web/viewer.html?cod_protocolo=4501813&amp;cod_pagina=&amp;cod_usuario=76880&amp;cod_orgao=9694&amp;token=6TG3ELSB78B1I01</t>
  </si>
  <si>
    <t>https://intra.senado.leg.br/sigad/visualizador/PdfJs/web/viewer.html?cod_protocolo=4465807&amp;cod_pagina=&amp;cod_usuario=76880&amp;cod_orgao=9694&amp;token=UVYHBQR4KQXMA3P</t>
  </si>
  <si>
    <t>https://intra.senado.leg.br/sigad/visualizador/PdfJs/web/viewer.html?cod_protocolo=4499739&amp;cod_pagina=&amp;cod_usuario=76880&amp;cod_orgao=9694&amp;token=KUMYNDXJMPJ8APS</t>
  </si>
  <si>
    <t>https://intra.senado.leg.br/sigad/novo/protocolo/impressao.asp?cod_protocolo=4491726</t>
  </si>
  <si>
    <t>https://intra.senado.leg.br/sigad/visualizador/PdfJs/web/viewer.html?cod_protocolo=4496789&amp;cod_pagina=&amp;cod_usuario=76880&amp;cod_orgao=9694&amp;token=H9WISM8JT8IQJL8</t>
  </si>
  <si>
    <t>https://intra.senado.leg.br/sigad/novo/protocolo/impressao.asp?area=processo&amp;cod_protocolo=4500061&amp;cod_frente_verso=&amp;cod_juntada=&amp;txt_funcao=</t>
  </si>
  <si>
    <t>https://intra.senado.leg.br/sigad/novo/protocolo/impressao.asp?area=processo&amp;cod_protocolo=4508786&amp;cod_frente_verso=&amp;cod_juntada=&amp;txt_funcao=</t>
  </si>
  <si>
    <t>https://intra.senado.leg.br/sigad/novo/protocolo/impressao.asp?area=processo&amp;cod_protocolo=4476966&amp;cod_frente_verso=&amp;cod_juntada=&amp;txt_funcao=</t>
  </si>
  <si>
    <t>https://intra.senado.leg.br/sigad/novo/protocolo/impressao.asp?area=processo&amp;cod_protocolo=4488026&amp;cod_frente_verso=&amp;cod_juntada=&amp;txt_funcao=</t>
  </si>
  <si>
    <t>https://intra.senado.leg.br/sigad/visualizador/PdfJs/web/viewer.html?cod_protocolo=4496720&amp;cod_pagina=&amp;cod_usuario=76880&amp;cod_orgao=9694&amp;token=5W632YWER1CJ4XW</t>
  </si>
  <si>
    <t>https://intra.senado.leg.br/sigad/novo/protocolo/impressao.asp?area=processo&amp;cod_protocolo=4515916&amp;cod_frente_verso=&amp;cod_juntada=&amp;txt_funcao=</t>
  </si>
  <si>
    <t>https://intra.senado.leg.br/sigad/novo/protocolo/impressao.asp?area=processo&amp;cod_protocolo=4499953&amp;cod_frente_verso=&amp;cod_juntada=&amp;txt_funcao=</t>
  </si>
  <si>
    <t>https://intra.senado.leg.br/sigad/novo/protocolo/impressao.asp?cod_protocolo=4536977</t>
  </si>
  <si>
    <t>https://intra.senado.leg.br/sigad/novo/protocolo/impressao.asp?area=processo&amp;cod_protocolo=4529785&amp;cod_frente_verso=&amp;cod_juntada=&amp;txt_funcao=</t>
  </si>
  <si>
    <t>https://intra.senado.leg.br/sigad/novo/protocolo/impressao.asp?area=processo&amp;cod_protocolo=4508858&amp;cod_frente_verso=&amp;cod_juntada=&amp;txt_funcao=</t>
  </si>
  <si>
    <t>https://intra.senado.leg.br/sigad/novo/protocolo/impressao.asp?cod_protocolo=4543420</t>
  </si>
  <si>
    <t>https://intra.senado.leg.br/sigad/novo/protocolo/impressao.asp?area=processo&amp;cod_protocolo=4501285&amp;cod_frente_verso=&amp;cod_juntada=&amp;txt_funcao=</t>
  </si>
  <si>
    <t>https://intra.senado.leg.br/sigad/novo/protocolo/impressao.asp?cod_protocolo=4534783</t>
  </si>
  <si>
    <t>https://intra.senado.leg.br/sigad/novo/protocolo/impressao.asp?cod_protocolo=4537024</t>
  </si>
  <si>
    <t>https://intra.senado.leg.br/sigad/novo/protocolo/impressao.asp?cod_protocolo=4537003</t>
  </si>
  <si>
    <t>00200.020352/2025-91</t>
  </si>
  <si>
    <t>Senadora Ana Paula Lobato Terceira Secretária Contato: 3303-2967</t>
  </si>
  <si>
    <t xml:space="preserve">SIM 00100.202301/2025-12 </t>
  </si>
  <si>
    <t>https://intra.senado.leg.br/sigad/novo/protocolo/impressao.asp?cod_protocolo=4548883</t>
  </si>
  <si>
    <t>https://intra.senado.leg.br/sigad/visualizador/PdfJs/web/viewer.html?cod_protocolo=4549672&amp;cod_pagina=&amp;cod_usuario=76880&amp;cod_orgao=9694&amp;token=WP97I93Q0GJDDV5</t>
  </si>
  <si>
    <t>Dia da Instituição do Direito de Voto da Mulher (COR ROXA)</t>
  </si>
  <si>
    <t>Dia Mundial do Diabetes (COR AZUL)</t>
  </si>
  <si>
    <t>Dia Internacional para a Eliminação da Violência Contra as Mulheres(COR LARANJA)</t>
  </si>
  <si>
    <t>Dia Nacional de Luta contra o Câncer de Mama (COR ROSA)</t>
  </si>
  <si>
    <t>ID_ILUMINACAO</t>
  </si>
  <si>
    <t>TIP_ILUMINACAO</t>
  </si>
  <si>
    <t>DAT_SOLICITACAO</t>
  </si>
  <si>
    <t>DAT_INICIO</t>
  </si>
  <si>
    <t>DAT_TERMINO</t>
  </si>
  <si>
    <t>SOLICITANTE_CONTATO</t>
  </si>
  <si>
    <t>LINK_PROCESSO</t>
  </si>
  <si>
    <t>AUTORIZACAO</t>
  </si>
  <si>
    <t>LINK_AUTORIZACAO</t>
  </si>
  <si>
    <t>EVENTO</t>
  </si>
  <si>
    <t>NOTICIAS</t>
  </si>
  <si>
    <t>COR</t>
  </si>
  <si>
    <t>IND_ENTREGUE</t>
  </si>
  <si>
    <t>DAT_ENTREGA</t>
  </si>
  <si>
    <t>FK_ID_CONTRATO</t>
  </si>
  <si>
    <t>S</t>
  </si>
  <si>
    <t>PELÍCULAS ENTREGUES em 12/11/2025</t>
  </si>
  <si>
    <t>PELÍCULAS ENTREGUES em 19/11/2025</t>
  </si>
  <si>
    <t>Senador Dr. HiranContato: 3303-6251</t>
  </si>
  <si>
    <t>00200.021049/2025-14</t>
  </si>
  <si>
    <t>https://intra.senado.leg.br/sigad/novo/protocolo/impressao.asp?cod_protocolo=4560270</t>
  </si>
  <si>
    <t>PROJEÇÃODia dos Ostomizados</t>
  </si>
  <si>
    <t>SIM00100.208705/2025-10</t>
  </si>
  <si>
    <t>https://intra.senado.leg.br/sigad/visualizador/PdfJs/web/viewer.html?cod_protocolo=4566949&amp;cod_pagina=&amp;cod_usuario=76880&amp;cod_orgao=9694&amp;token=GONDW4A1M7JOEUV</t>
  </si>
  <si>
    <t>Secretaria da MulherCâmara dos DeputadosContato: 3215-8810</t>
  </si>
  <si>
    <t>00200.022178/2025-11</t>
  </si>
  <si>
    <t>https://intra.senado.leg.br/sigad/novo/protocolo/impressao.asp?cod_protocolo=4578306&amp;area=processo</t>
  </si>
  <si>
    <t>SIM00100.219140/2025-98</t>
  </si>
  <si>
    <t>https://intra.senado.leg.br/sigad/visualizador/PdfJs/web/viewer.html?cod_protocolo=4581388&amp;cod_pagina=&amp;cod_usuario=87448&amp;cod_orgao=9694&amp;token=JWLFWIOOS4JMQAB</t>
  </si>
  <si>
    <t>PROJEÇÃO16 Dias de Ativismo pelo Fim da Violência contra Meninas e MulheresONU Mulheres</t>
  </si>
  <si>
    <t>Senadora Mara GabrilliContato: 3303-2191</t>
  </si>
  <si>
    <t>00200.021898/2025-60</t>
  </si>
  <si>
    <t>https://intra.senado.leg.br/sigad/novo/protocolo/impressao.asp?cod_protocolo=4574516&amp;area=processo</t>
  </si>
  <si>
    <t>SIM00100.216865/2025-24</t>
  </si>
  <si>
    <t>autorizado pela Câmara dos Deputados</t>
  </si>
  <si>
    <t>https://intra.senado.leg.br/sigad/novo/protocolo/impressao.asp?area=processo&amp;cod_protocolo=4574806&amp;cod_frente_verso=&amp;cod_juntada=&amp;txt_funcao=</t>
  </si>
  <si>
    <t>Dia Internacional pela Eliminação da Violência Contra as Mulheres(COR ROXA)</t>
  </si>
  <si>
    <t>Deputada Federal Jack Rocha, Coordenadora Geral dos Direitos da Mulher na Câmara dos DeputadosContato: 3215-8810</t>
  </si>
  <si>
    <t>00200.021817/2025-21</t>
  </si>
  <si>
    <t>https://intra.senado.leg.br/sigad/novo/protocolo/impressao.asp?cod_protocolo=4573221&amp;area=processo</t>
  </si>
  <si>
    <t>Tramitado para a PRSECR Aguardando autorização</t>
  </si>
  <si>
    <t>PROJEÇÃOCampanha do Tribunal de Contas da União (TCU), que será lançada em 19 de novembro:"O TCU quer ouvir você!"</t>
  </si>
  <si>
    <t>Secretária Nacional de Enfrentamento à Violência contra Mulheres, Senhora Estela BezerraContato 61 2027-3935 - 4769</t>
  </si>
  <si>
    <t>00200.022532/2025-16</t>
  </si>
  <si>
    <t>https://intra.senado.leg.br/sigad/novo/protocolo/impressao.asp?cod_protocolo=4583883&amp;area=processo</t>
  </si>
  <si>
    <t>SIM00100.222285/2025-76</t>
  </si>
  <si>
    <t>https://intra.senado.leg.br/sigad/visualizador/PdfJs/web/viewer.html?cod_protocolo=4594594&amp;cod_pagina=&amp;cod_usuario=76880&amp;cod_orgao=9694&amp;token=SL6THIKEPDW4J2E</t>
  </si>
  <si>
    <t>PROJEÇÃO20 anos do Ligue 180</t>
  </si>
  <si>
    <t>Segundo Vice Presidente do Senado Federal, Senador Humberto CostaContato: 3303-6285/ 6286 Presidente da Frente Parlamentar da Medicina, Senador Dr. HiranContato: 3303-6251</t>
  </si>
  <si>
    <t>00200.019334/2025-67</t>
  </si>
  <si>
    <t>https://intra.senado.leg.br/sigad/novo/protocolo/impressao.asp?cod_protocolo=4532498&amp;area=processo</t>
  </si>
  <si>
    <t>SIM00100.210926/2025-40</t>
  </si>
  <si>
    <t>https://intra.senado.leg.br/sigad/visualizador/PdfJs/web/viewer.html?cod_protocolo=4564327&amp;cod_pagina=&amp;cod_usuario=87448&amp;cod_orgao=9694&amp;token=3WO0WG7866XPPPV</t>
  </si>
  <si>
    <t>Campanha Nacional de Prevenção ao Câncer de Pele- Dezembro Laranja(COR LARANJA)</t>
  </si>
  <si>
    <t>PROJEÇÃOCampanha Nacional de Prevenção ao Câncer de Pele- Dezembro Laranja</t>
  </si>
  <si>
    <t>PELÍCULAS ENTREGUESem 01/10/2025</t>
  </si>
  <si>
    <t>Iluminação Completa</t>
  </si>
  <si>
    <t>PROCESSO_DOCUMENTO</t>
  </si>
  <si>
    <t>OBSERVACAO</t>
  </si>
  <si>
    <t>Secretário de Estado de Saúde do Distrito Federal, Juracy Cavalcante Lacerda JúniorContato: 3449-4002</t>
  </si>
  <si>
    <t>SIM00100.212411/2025-84</t>
  </si>
  <si>
    <t>https://intra.senado.leg.br/sigad/novo/protocolo/impressao.asp?cod_protocolo=4567040&amp;area=documento</t>
  </si>
  <si>
    <t>Dia Mundial da Prevenção à Hanseníase(COR ROXA)</t>
  </si>
  <si>
    <t>PELÍCULAS SEPARADASFALTA FAZER RECIBO E ENTREGAR</t>
  </si>
  <si>
    <t>Deputada Federal Erika HiltonContato: 3215-5636 Deputada Federal Duda SalabertContato: 3215-5840</t>
  </si>
  <si>
    <t>00200.000689/2026-63</t>
  </si>
  <si>
    <t>https://intra.senado.leg.br/sigad/novo/protocolo/impressao.asp?cod_protocolo=4636529&amp;area=processo</t>
  </si>
  <si>
    <t>Tramitado para a PRSECRAguardando autorização</t>
  </si>
  <si>
    <t>PROJEÇÃODia Nacional da Visibilidade 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</si>
</sst>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1" fillId="2" borderId="0" xfId="0" applyNumberFormat="1" applyFont="1" applyFill="1" applyAlignment="1">
      <alignment horizontal="left" vertical="center" wrapText="1" indent="1"/>
    </xf>
    <xf numFmtId="14" fontId="1" fillId="2" borderId="0" xfId="0" applyNumberFormat="1" applyFont="1" applyFill="1" applyAlignment="1">
      <alignment horizontal="left" vertical="center" indent="1"/>
    </xf>
    <xf numFmtId="14" fontId="0" fillId="0" borderId="0" xfId="0" applyNumberFormat="1"/>
    <xf numFmtId="0" fontId="0" fillId="0" borderId="0" xfId="0" applyAlignment="1">
      <alignment wrapText="1"/>
    </xf>
  </cellXfs>
  <cellStyles count="2">
    <cellStyle name="Hyperlink" xfId="1" xr:uid="{6DCE856F-1695-4A87-844D-D1BE31E1D548}"/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9CAE7-9D5F-4A6B-BA1C-7A68E373B887}" name="Tabela1" displayName="Tabela1" ref="A1:Q437" totalsRowShown="0">
  <autoFilter ref="A1:Q437" xr:uid="{32C9CAE7-9D5F-4A6B-BA1C-7A68E373B887}"/>
  <sortState xmlns:xlrd2="http://schemas.microsoft.com/office/spreadsheetml/2017/richdata2" ref="A2:Q433">
    <sortCondition ref="A1:A433"/>
  </sortState>
  <tableColumns count="17">
    <tableColumn id="1" xr3:uid="{24727414-B944-4350-B0B7-1051C1D16D1C}" name="ID_ILUMINACAO"/>
    <tableColumn id="2" xr3:uid="{23AA4699-F648-4168-A414-6DE1FA7A6A0E}" name="TIP_ILUMINACAO"/>
    <tableColumn id="3" xr3:uid="{2AEC6899-2C67-4609-8DCC-F567B8603A21}" name="DAT_SOLICITACAO" dataDxfId="2"/>
    <tableColumn id="4" xr3:uid="{90B7D019-F972-4775-AF81-59F1F6242608}" name="DAT_INICIO" dataDxfId="1"/>
    <tableColumn id="5" xr3:uid="{2E423934-1893-4455-BE77-75BA5B7B255F}" name="DAT_TERMINO" dataDxfId="0"/>
    <tableColumn id="6" xr3:uid="{0AEB61D9-A551-49DA-818A-AD91658510F2}" name="SOLICITANTE_CONTATO"/>
    <tableColumn id="7" xr3:uid="{C6EBDFA5-08BA-47D6-BD87-5312272895A3}" name="PROCESSO_DOCUMENTO"/>
    <tableColumn id="8" xr3:uid="{49881709-918A-4F91-AE5A-A403C8B8803E}" name="LINK_PROCESSO"/>
    <tableColumn id="9" xr3:uid="{53B39A29-2294-4CF9-B095-AE0CBE08D117}" name="AUTORIZACAO"/>
    <tableColumn id="10" xr3:uid="{90E02BB9-0B1D-4487-82F1-A30217FFCF6D}" name="LINK_AUTORIZACAO"/>
    <tableColumn id="11" xr3:uid="{1D3C6B0B-7CA8-4381-BB0F-4543DE1B05F1}" name="EVENTO"/>
    <tableColumn id="12" xr3:uid="{B0F9122A-9FE8-48E5-A9BD-E77C4B45E4FA}" name="NOTICIAS"/>
    <tableColumn id="13" xr3:uid="{742E41F4-A924-4DAD-8425-2CFFA17A357A}" name="OBSERVACAO"/>
    <tableColumn id="14" xr3:uid="{365AAF66-1BB5-4297-9CDC-CB01D2A74778}" name="COR"/>
    <tableColumn id="15" xr3:uid="{8548B807-6BCC-4B25-8C17-99C5F2962DDF}" name="IND_ENTREGUE">
      <calculatedColumnFormula>IF(OR(ISNUMBER(FIND("ENTREGUES",M2)),N2="Preto",N2="Cinza"),"S","N")</calculatedColumnFormula>
    </tableColumn>
    <tableColumn id="16" xr3:uid="{86863011-0EE7-4D2D-8699-3B68606E282F}" name="DAT_ENTREGA"/>
    <tableColumn id="17" xr3:uid="{3ECAE7BB-6BDD-4E08-92CE-1CACB9A5F76A}" name="FK_ID_CONTRA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N421"/>
  <sheetViews>
    <sheetView topLeftCell="M1" zoomScaleNormal="100" workbookViewId="0">
      <selection activeCell="N1" sqref="N1"/>
    </sheetView>
  </sheetViews>
  <sheetFormatPr defaultRowHeight="15" x14ac:dyDescent="0.25"/>
  <cols>
    <col min="1" max="1" width="10.7109375" bestFit="1" customWidth="1"/>
    <col min="2" max="2" width="32.5703125" customWidth="1"/>
    <col min="3" max="3" width="78.85546875" customWidth="1"/>
    <col min="4" max="4" width="32.5703125" customWidth="1"/>
    <col min="5" max="5" width="46" bestFit="1" customWidth="1"/>
    <col min="6" max="6" width="171.85546875" bestFit="1" customWidth="1"/>
    <col min="7" max="7" width="23" customWidth="1"/>
    <col min="8" max="8" width="27" customWidth="1"/>
    <col min="9" max="9" width="19.28515625" bestFit="1" customWidth="1"/>
    <col min="10" max="11" width="13.5703125" bestFit="1" customWidth="1"/>
    <col min="12" max="12" width="9.140625" customWidth="1"/>
    <col min="13" max="13" width="162.85546875" bestFit="1" customWidth="1"/>
    <col min="14" max="14" width="162.5703125" bestFit="1" customWidth="1"/>
  </cols>
  <sheetData>
    <row r="1" spans="1:14" ht="16.5" x14ac:dyDescent="0.25">
      <c r="B1" s="4">
        <v>45645</v>
      </c>
      <c r="C1" t="s">
        <v>3</v>
      </c>
      <c r="D1" t="s">
        <v>85</v>
      </c>
      <c r="E1" t="s">
        <v>200</v>
      </c>
      <c r="F1" t="s">
        <v>316</v>
      </c>
      <c r="H1" t="s">
        <v>501</v>
      </c>
      <c r="I1" t="s">
        <v>564</v>
      </c>
      <c r="J1" s="3">
        <v>45683</v>
      </c>
      <c r="K1" s="2">
        <v>45687</v>
      </c>
      <c r="L1">
        <v>1</v>
      </c>
      <c r="M1" t="s">
        <v>578</v>
      </c>
    </row>
    <row r="2" spans="1:14" ht="16.5" x14ac:dyDescent="0.25">
      <c r="B2" s="4">
        <v>45645</v>
      </c>
      <c r="C2" t="s">
        <v>3</v>
      </c>
      <c r="D2" t="s">
        <v>85</v>
      </c>
      <c r="E2" t="s">
        <v>200</v>
      </c>
      <c r="F2" t="s">
        <v>316</v>
      </c>
      <c r="H2" t="s">
        <v>501</v>
      </c>
      <c r="I2" t="s">
        <v>564</v>
      </c>
      <c r="J2" s="2">
        <v>45683</v>
      </c>
      <c r="K2" s="2">
        <v>45687</v>
      </c>
      <c r="L2">
        <v>2</v>
      </c>
      <c r="M2" t="s">
        <v>578</v>
      </c>
    </row>
    <row r="3" spans="1:14" ht="16.5" x14ac:dyDescent="0.25">
      <c r="B3" s="4">
        <v>45297</v>
      </c>
      <c r="C3" t="s">
        <v>4</v>
      </c>
      <c r="D3" t="s">
        <v>86</v>
      </c>
      <c r="E3" t="s">
        <v>201</v>
      </c>
      <c r="F3" t="s">
        <v>316</v>
      </c>
      <c r="H3" t="s">
        <v>501</v>
      </c>
      <c r="I3" t="s">
        <v>564</v>
      </c>
      <c r="J3" s="2">
        <v>45683</v>
      </c>
      <c r="K3" s="2">
        <v>45687</v>
      </c>
      <c r="L3">
        <v>3</v>
      </c>
      <c r="M3" t="s">
        <v>579</v>
      </c>
      <c r="N3" t="s">
        <v>677</v>
      </c>
    </row>
    <row r="4" spans="1:14" ht="16.5" x14ac:dyDescent="0.25">
      <c r="B4" s="4">
        <v>45297</v>
      </c>
      <c r="C4" t="s">
        <v>4</v>
      </c>
      <c r="D4" t="s">
        <v>86</v>
      </c>
      <c r="E4" t="s">
        <v>201</v>
      </c>
      <c r="F4" t="s">
        <v>316</v>
      </c>
      <c r="H4" t="s">
        <v>501</v>
      </c>
      <c r="I4" t="s">
        <v>564</v>
      </c>
      <c r="J4" s="2">
        <v>45683</v>
      </c>
      <c r="K4" s="2">
        <v>45687</v>
      </c>
      <c r="L4">
        <v>4</v>
      </c>
      <c r="M4" t="s">
        <v>579</v>
      </c>
      <c r="N4" t="s">
        <v>677</v>
      </c>
    </row>
    <row r="5" spans="1:14" ht="16.5" x14ac:dyDescent="0.25">
      <c r="A5" t="s">
        <v>0</v>
      </c>
      <c r="B5" s="4">
        <v>45671</v>
      </c>
      <c r="C5" t="s">
        <v>5</v>
      </c>
      <c r="D5" t="s">
        <v>87</v>
      </c>
      <c r="E5" t="s">
        <v>202</v>
      </c>
      <c r="F5" t="s">
        <v>317</v>
      </c>
      <c r="H5" t="s">
        <v>577</v>
      </c>
      <c r="I5" t="s">
        <v>565</v>
      </c>
      <c r="J5" s="2">
        <v>45686</v>
      </c>
      <c r="K5" s="2">
        <v>45686</v>
      </c>
      <c r="L5">
        <v>5</v>
      </c>
      <c r="M5" t="s">
        <v>580</v>
      </c>
      <c r="N5" t="s">
        <v>678</v>
      </c>
    </row>
    <row r="6" spans="1:14" ht="16.5" x14ac:dyDescent="0.25">
      <c r="A6" t="s">
        <v>0</v>
      </c>
      <c r="B6" s="4">
        <v>45671</v>
      </c>
      <c r="C6" t="s">
        <v>5</v>
      </c>
      <c r="D6" t="s">
        <v>87</v>
      </c>
      <c r="E6" t="s">
        <v>203</v>
      </c>
      <c r="F6" t="s">
        <v>317</v>
      </c>
      <c r="H6" t="s">
        <v>577</v>
      </c>
      <c r="I6" t="s">
        <v>565</v>
      </c>
      <c r="J6" s="2">
        <v>45686</v>
      </c>
      <c r="K6" s="2">
        <v>45686</v>
      </c>
      <c r="L6">
        <v>6</v>
      </c>
      <c r="M6" t="s">
        <v>580</v>
      </c>
      <c r="N6" t="s">
        <v>678</v>
      </c>
    </row>
    <row r="7" spans="1:14" ht="16.5" x14ac:dyDescent="0.25">
      <c r="B7" s="4">
        <v>45652</v>
      </c>
      <c r="C7" t="s">
        <v>6</v>
      </c>
      <c r="D7" t="s">
        <v>88</v>
      </c>
      <c r="E7" t="s">
        <v>204</v>
      </c>
      <c r="F7" t="s">
        <v>318</v>
      </c>
      <c r="H7" t="s">
        <v>502</v>
      </c>
      <c r="I7" t="s">
        <v>564</v>
      </c>
      <c r="J7" s="2">
        <v>45692</v>
      </c>
      <c r="K7" s="2">
        <v>45692</v>
      </c>
      <c r="L7">
        <v>7</v>
      </c>
      <c r="M7" t="s">
        <v>581</v>
      </c>
      <c r="N7" t="s">
        <v>679</v>
      </c>
    </row>
    <row r="8" spans="1:14" ht="16.5" x14ac:dyDescent="0.25">
      <c r="B8" s="4">
        <v>45652</v>
      </c>
      <c r="C8" t="s">
        <v>6</v>
      </c>
      <c r="D8" t="s">
        <v>88</v>
      </c>
      <c r="E8" t="s">
        <v>203</v>
      </c>
      <c r="F8" t="s">
        <v>318</v>
      </c>
      <c r="H8" t="s">
        <v>502</v>
      </c>
      <c r="I8" t="s">
        <v>564</v>
      </c>
      <c r="J8" s="2">
        <v>45692</v>
      </c>
      <c r="K8" s="2">
        <v>45692</v>
      </c>
      <c r="L8">
        <v>8</v>
      </c>
      <c r="M8" t="s">
        <v>581</v>
      </c>
      <c r="N8" t="s">
        <v>679</v>
      </c>
    </row>
    <row r="9" spans="1:14" ht="16.5" x14ac:dyDescent="0.25">
      <c r="B9" s="4">
        <v>45579</v>
      </c>
      <c r="C9" t="s">
        <v>7</v>
      </c>
      <c r="D9" t="s">
        <v>89</v>
      </c>
      <c r="E9" t="s">
        <v>205</v>
      </c>
      <c r="F9" t="s">
        <v>319</v>
      </c>
      <c r="H9" t="s">
        <v>503</v>
      </c>
      <c r="I9" t="s">
        <v>566</v>
      </c>
      <c r="J9" s="2">
        <v>45702</v>
      </c>
      <c r="K9" s="2">
        <v>45703</v>
      </c>
      <c r="L9">
        <v>9</v>
      </c>
      <c r="M9" t="s">
        <v>582</v>
      </c>
      <c r="N9" t="s">
        <v>680</v>
      </c>
    </row>
    <row r="10" spans="1:14" ht="16.5" x14ac:dyDescent="0.25">
      <c r="B10" s="4">
        <v>45579</v>
      </c>
      <c r="C10" t="s">
        <v>7</v>
      </c>
      <c r="D10" t="s">
        <v>89</v>
      </c>
      <c r="E10" t="s">
        <v>203</v>
      </c>
      <c r="F10" t="s">
        <v>319</v>
      </c>
      <c r="H10" t="s">
        <v>503</v>
      </c>
      <c r="I10" t="s">
        <v>566</v>
      </c>
      <c r="J10" s="2">
        <v>45702</v>
      </c>
      <c r="K10" s="2">
        <v>45703</v>
      </c>
      <c r="L10">
        <v>10</v>
      </c>
      <c r="M10" t="s">
        <v>582</v>
      </c>
      <c r="N10" t="s">
        <v>680</v>
      </c>
    </row>
    <row r="11" spans="1:14" ht="16.5" x14ac:dyDescent="0.25">
      <c r="B11" s="4">
        <v>45693</v>
      </c>
      <c r="C11" t="s">
        <v>8</v>
      </c>
      <c r="D11" t="s">
        <v>90</v>
      </c>
      <c r="E11" t="s">
        <v>206</v>
      </c>
      <c r="F11" t="s">
        <v>320</v>
      </c>
      <c r="H11" t="s">
        <v>503</v>
      </c>
      <c r="I11" t="s">
        <v>564</v>
      </c>
      <c r="J11" s="2">
        <v>45704</v>
      </c>
      <c r="K11" s="2">
        <v>45706</v>
      </c>
      <c r="L11">
        <v>11</v>
      </c>
      <c r="M11" t="s">
        <v>583</v>
      </c>
      <c r="N11" t="s">
        <v>681</v>
      </c>
    </row>
    <row r="12" spans="1:14" ht="16.5" x14ac:dyDescent="0.25">
      <c r="B12" s="4">
        <v>45693</v>
      </c>
      <c r="C12" t="s">
        <v>8</v>
      </c>
      <c r="D12" t="s">
        <v>90</v>
      </c>
      <c r="E12" t="s">
        <v>203</v>
      </c>
      <c r="F12" t="s">
        <v>320</v>
      </c>
      <c r="H12" t="s">
        <v>503</v>
      </c>
      <c r="I12" t="s">
        <v>564</v>
      </c>
      <c r="J12" s="2">
        <v>45704</v>
      </c>
      <c r="K12" s="2">
        <v>45706</v>
      </c>
      <c r="L12">
        <v>12</v>
      </c>
      <c r="M12" t="s">
        <v>583</v>
      </c>
      <c r="N12" t="s">
        <v>681</v>
      </c>
    </row>
    <row r="13" spans="1:14" ht="16.5" x14ac:dyDescent="0.25">
      <c r="B13" s="4">
        <v>45673</v>
      </c>
      <c r="C13" t="s">
        <v>9</v>
      </c>
      <c r="D13" t="s">
        <v>91</v>
      </c>
      <c r="E13" t="s">
        <v>207</v>
      </c>
      <c r="F13" t="s">
        <v>321</v>
      </c>
      <c r="H13" t="s">
        <v>503</v>
      </c>
      <c r="I13" t="s">
        <v>564</v>
      </c>
      <c r="J13" s="2">
        <v>45706</v>
      </c>
      <c r="K13" s="2">
        <v>45706</v>
      </c>
      <c r="L13">
        <v>13</v>
      </c>
      <c r="M13" t="s">
        <v>584</v>
      </c>
      <c r="N13" t="s">
        <v>682</v>
      </c>
    </row>
    <row r="14" spans="1:14" ht="16.5" x14ac:dyDescent="0.25">
      <c r="B14" s="4">
        <v>45673</v>
      </c>
      <c r="C14" t="s">
        <v>9</v>
      </c>
      <c r="D14" t="s">
        <v>91</v>
      </c>
      <c r="E14" t="s">
        <v>208</v>
      </c>
      <c r="F14" t="s">
        <v>321</v>
      </c>
      <c r="H14" t="s">
        <v>503</v>
      </c>
      <c r="I14" t="s">
        <v>564</v>
      </c>
      <c r="J14" s="2">
        <v>45706</v>
      </c>
      <c r="K14" s="2">
        <v>45706</v>
      </c>
      <c r="L14">
        <v>14</v>
      </c>
      <c r="M14" t="s">
        <v>584</v>
      </c>
      <c r="N14" t="s">
        <v>682</v>
      </c>
    </row>
    <row r="15" spans="1:14" ht="16.5" x14ac:dyDescent="0.25">
      <c r="A15" t="s">
        <v>1</v>
      </c>
      <c r="B15" s="4">
        <v>45707</v>
      </c>
      <c r="C15" t="s">
        <v>10</v>
      </c>
      <c r="D15" t="s">
        <v>92</v>
      </c>
      <c r="E15" t="s">
        <v>209</v>
      </c>
      <c r="F15" t="s">
        <v>322</v>
      </c>
      <c r="H15" t="s">
        <v>504</v>
      </c>
      <c r="I15" t="s">
        <v>567</v>
      </c>
      <c r="J15" s="2">
        <v>45713</v>
      </c>
      <c r="K15" s="2">
        <v>45714</v>
      </c>
      <c r="L15">
        <v>15</v>
      </c>
      <c r="M15" t="s">
        <v>585</v>
      </c>
      <c r="N15" t="s">
        <v>683</v>
      </c>
    </row>
    <row r="16" spans="1:14" ht="16.5" x14ac:dyDescent="0.25">
      <c r="A16" t="s">
        <v>2</v>
      </c>
      <c r="B16" s="4">
        <v>45707</v>
      </c>
      <c r="C16" t="s">
        <v>10</v>
      </c>
      <c r="D16" t="s">
        <v>92</v>
      </c>
      <c r="E16" t="s">
        <v>208</v>
      </c>
      <c r="F16" t="s">
        <v>322</v>
      </c>
      <c r="H16" t="s">
        <v>504</v>
      </c>
      <c r="I16" t="s">
        <v>568</v>
      </c>
      <c r="J16" s="2">
        <v>45713</v>
      </c>
      <c r="K16" s="2">
        <v>45714</v>
      </c>
      <c r="L16">
        <v>16</v>
      </c>
      <c r="M16" t="s">
        <v>585</v>
      </c>
      <c r="N16" t="s">
        <v>683</v>
      </c>
    </row>
    <row r="17" spans="1:14" ht="16.5" x14ac:dyDescent="0.25">
      <c r="A17" t="s">
        <v>1</v>
      </c>
      <c r="B17" s="4">
        <v>45574</v>
      </c>
      <c r="C17" t="s">
        <v>11</v>
      </c>
      <c r="D17" t="s">
        <v>93</v>
      </c>
      <c r="E17" t="s">
        <v>210</v>
      </c>
      <c r="F17" t="s">
        <v>323</v>
      </c>
      <c r="H17" t="s">
        <v>504</v>
      </c>
      <c r="I17" t="s">
        <v>567</v>
      </c>
      <c r="J17" s="2">
        <v>45715</v>
      </c>
      <c r="K17" s="2">
        <v>45716</v>
      </c>
      <c r="L17">
        <v>17</v>
      </c>
      <c r="M17" t="s">
        <v>586</v>
      </c>
      <c r="N17" t="s">
        <v>684</v>
      </c>
    </row>
    <row r="18" spans="1:14" ht="16.5" x14ac:dyDescent="0.25">
      <c r="A18" t="s">
        <v>2</v>
      </c>
      <c r="B18" s="4">
        <v>45574</v>
      </c>
      <c r="C18" t="s">
        <v>11</v>
      </c>
      <c r="D18" t="s">
        <v>93</v>
      </c>
      <c r="E18" t="s">
        <v>208</v>
      </c>
      <c r="F18" t="s">
        <v>323</v>
      </c>
      <c r="H18" t="s">
        <v>504</v>
      </c>
      <c r="I18" t="s">
        <v>569</v>
      </c>
      <c r="J18" s="2">
        <v>45715</v>
      </c>
      <c r="K18" s="2">
        <v>45716</v>
      </c>
      <c r="L18">
        <v>18</v>
      </c>
      <c r="M18" t="s">
        <v>586</v>
      </c>
      <c r="N18" t="s">
        <v>684</v>
      </c>
    </row>
    <row r="19" spans="1:14" ht="16.5" x14ac:dyDescent="0.25">
      <c r="A19" t="s">
        <v>1</v>
      </c>
      <c r="B19" s="4">
        <v>45326</v>
      </c>
      <c r="C19" t="s">
        <v>12</v>
      </c>
      <c r="D19" t="s">
        <v>94</v>
      </c>
      <c r="E19" t="s">
        <v>211</v>
      </c>
      <c r="F19" t="s">
        <v>323</v>
      </c>
      <c r="H19" t="s">
        <v>504</v>
      </c>
      <c r="I19" t="s">
        <v>567</v>
      </c>
      <c r="J19" s="2">
        <v>45715</v>
      </c>
      <c r="K19" s="2">
        <v>45716</v>
      </c>
      <c r="L19">
        <v>19</v>
      </c>
      <c r="M19" t="s">
        <v>587</v>
      </c>
      <c r="N19" t="s">
        <v>685</v>
      </c>
    </row>
    <row r="20" spans="1:14" ht="16.5" x14ac:dyDescent="0.25">
      <c r="A20" t="s">
        <v>2</v>
      </c>
      <c r="B20" s="4">
        <v>45326</v>
      </c>
      <c r="C20" t="s">
        <v>12</v>
      </c>
      <c r="D20" t="s">
        <v>94</v>
      </c>
      <c r="E20" t="s">
        <v>203</v>
      </c>
      <c r="F20" t="s">
        <v>323</v>
      </c>
      <c r="H20" t="s">
        <v>504</v>
      </c>
      <c r="I20" t="s">
        <v>569</v>
      </c>
      <c r="J20" s="2">
        <v>45715</v>
      </c>
      <c r="K20" s="2">
        <v>45716</v>
      </c>
      <c r="L20">
        <v>20</v>
      </c>
      <c r="M20" t="s">
        <v>587</v>
      </c>
      <c r="N20" t="s">
        <v>685</v>
      </c>
    </row>
    <row r="21" spans="1:14" ht="16.5" x14ac:dyDescent="0.25">
      <c r="A21" t="s">
        <v>1</v>
      </c>
      <c r="B21" s="4">
        <v>45693</v>
      </c>
      <c r="C21" t="s">
        <v>13</v>
      </c>
      <c r="D21" t="s">
        <v>90</v>
      </c>
      <c r="E21" t="s">
        <v>206</v>
      </c>
      <c r="F21" t="s">
        <v>323</v>
      </c>
      <c r="H21" t="s">
        <v>504</v>
      </c>
      <c r="I21" t="s">
        <v>567</v>
      </c>
      <c r="J21" s="2">
        <v>45715</v>
      </c>
      <c r="K21" s="2">
        <v>45716</v>
      </c>
      <c r="L21">
        <v>21</v>
      </c>
      <c r="M21" t="s">
        <v>583</v>
      </c>
      <c r="N21" t="s">
        <v>681</v>
      </c>
    </row>
    <row r="22" spans="1:14" ht="16.5" x14ac:dyDescent="0.25">
      <c r="A22" t="s">
        <v>2</v>
      </c>
      <c r="B22" s="4">
        <v>45693</v>
      </c>
      <c r="C22" t="s">
        <v>13</v>
      </c>
      <c r="D22" t="s">
        <v>90</v>
      </c>
      <c r="E22" t="s">
        <v>203</v>
      </c>
      <c r="F22" t="s">
        <v>323</v>
      </c>
      <c r="H22" t="s">
        <v>504</v>
      </c>
      <c r="I22" t="s">
        <v>569</v>
      </c>
      <c r="J22" s="2">
        <v>45715</v>
      </c>
      <c r="K22" s="2">
        <v>45716</v>
      </c>
      <c r="L22">
        <v>22</v>
      </c>
      <c r="M22" t="s">
        <v>583</v>
      </c>
      <c r="N22" t="s">
        <v>681</v>
      </c>
    </row>
    <row r="23" spans="1:14" ht="16.5" x14ac:dyDescent="0.25">
      <c r="B23" s="4">
        <v>45652</v>
      </c>
      <c r="C23" t="s">
        <v>6</v>
      </c>
      <c r="D23" t="s">
        <v>88</v>
      </c>
      <c r="E23" t="s">
        <v>204</v>
      </c>
      <c r="F23" t="s">
        <v>324</v>
      </c>
      <c r="H23" t="s">
        <v>505</v>
      </c>
      <c r="I23" t="s">
        <v>564</v>
      </c>
      <c r="J23" s="2">
        <v>45723</v>
      </c>
      <c r="K23" s="2">
        <v>45724</v>
      </c>
      <c r="L23">
        <v>23</v>
      </c>
      <c r="M23" t="s">
        <v>581</v>
      </c>
      <c r="N23" t="s">
        <v>679</v>
      </c>
    </row>
    <row r="24" spans="1:14" ht="16.5" x14ac:dyDescent="0.25">
      <c r="B24" s="4">
        <v>45652</v>
      </c>
      <c r="C24" t="s">
        <v>6</v>
      </c>
      <c r="D24" t="s">
        <v>88</v>
      </c>
      <c r="E24" t="s">
        <v>203</v>
      </c>
      <c r="F24" t="s">
        <v>324</v>
      </c>
      <c r="H24" t="s">
        <v>505</v>
      </c>
      <c r="I24" t="s">
        <v>564</v>
      </c>
      <c r="J24" s="2">
        <v>45723</v>
      </c>
      <c r="K24" s="2">
        <v>45724</v>
      </c>
      <c r="L24">
        <v>24</v>
      </c>
      <c r="M24" t="s">
        <v>581</v>
      </c>
      <c r="N24" t="s">
        <v>679</v>
      </c>
    </row>
    <row r="25" spans="1:14" ht="16.5" x14ac:dyDescent="0.25">
      <c r="B25" s="4">
        <v>45722</v>
      </c>
      <c r="C25" t="s">
        <v>14</v>
      </c>
      <c r="D25" t="s">
        <v>95</v>
      </c>
      <c r="E25" t="s">
        <v>212</v>
      </c>
      <c r="F25" t="s">
        <v>325</v>
      </c>
      <c r="H25" t="s">
        <v>505</v>
      </c>
      <c r="I25" t="s">
        <v>564</v>
      </c>
      <c r="J25" s="2">
        <v>45723</v>
      </c>
      <c r="K25" s="2">
        <v>45724</v>
      </c>
      <c r="L25">
        <v>25</v>
      </c>
      <c r="M25" t="s">
        <v>588</v>
      </c>
      <c r="N25" t="s">
        <v>679</v>
      </c>
    </row>
    <row r="26" spans="1:14" ht="16.5" x14ac:dyDescent="0.25">
      <c r="B26" s="4">
        <v>45722</v>
      </c>
      <c r="C26" t="s">
        <v>14</v>
      </c>
      <c r="D26" t="s">
        <v>95</v>
      </c>
      <c r="E26" t="s">
        <v>212</v>
      </c>
      <c r="F26" t="s">
        <v>325</v>
      </c>
      <c r="H26" t="s">
        <v>505</v>
      </c>
      <c r="I26" t="s">
        <v>564</v>
      </c>
      <c r="J26" s="2">
        <v>45723</v>
      </c>
      <c r="K26" s="2">
        <v>45724</v>
      </c>
      <c r="L26">
        <v>26</v>
      </c>
      <c r="M26" t="s">
        <v>588</v>
      </c>
      <c r="N26" t="s">
        <v>679</v>
      </c>
    </row>
    <row r="27" spans="1:14" ht="16.5" x14ac:dyDescent="0.25">
      <c r="B27" s="4">
        <v>45692</v>
      </c>
      <c r="C27" t="s">
        <v>15</v>
      </c>
      <c r="D27" t="s">
        <v>96</v>
      </c>
      <c r="E27" t="s">
        <v>213</v>
      </c>
      <c r="F27" t="s">
        <v>326</v>
      </c>
      <c r="H27" t="s">
        <v>506</v>
      </c>
      <c r="I27" t="s">
        <v>564</v>
      </c>
      <c r="J27" s="2">
        <v>45728</v>
      </c>
      <c r="K27" s="2">
        <v>45728</v>
      </c>
      <c r="L27">
        <v>27</v>
      </c>
      <c r="M27" t="s">
        <v>588</v>
      </c>
      <c r="N27" t="s">
        <v>686</v>
      </c>
    </row>
    <row r="28" spans="1:14" ht="16.5" x14ac:dyDescent="0.25">
      <c r="B28" s="4">
        <v>45692</v>
      </c>
      <c r="C28" t="s">
        <v>15</v>
      </c>
      <c r="D28" t="s">
        <v>96</v>
      </c>
      <c r="E28" t="s">
        <v>203</v>
      </c>
      <c r="F28" t="s">
        <v>326</v>
      </c>
      <c r="H28" t="s">
        <v>506</v>
      </c>
      <c r="I28" t="s">
        <v>564</v>
      </c>
      <c r="J28" s="2">
        <v>45728</v>
      </c>
      <c r="K28" s="2">
        <v>45728</v>
      </c>
      <c r="L28">
        <v>28</v>
      </c>
      <c r="M28" t="s">
        <v>588</v>
      </c>
      <c r="N28" t="s">
        <v>686</v>
      </c>
    </row>
    <row r="29" spans="1:14" ht="16.5" x14ac:dyDescent="0.25">
      <c r="A29" t="s">
        <v>1</v>
      </c>
      <c r="B29" s="4">
        <v>45692</v>
      </c>
      <c r="C29" t="s">
        <v>15</v>
      </c>
      <c r="D29" t="s">
        <v>97</v>
      </c>
      <c r="E29" t="s">
        <v>213</v>
      </c>
      <c r="F29" t="s">
        <v>327</v>
      </c>
      <c r="H29" t="s">
        <v>506</v>
      </c>
      <c r="I29" t="s">
        <v>566</v>
      </c>
      <c r="J29" s="2">
        <v>45729</v>
      </c>
      <c r="K29" s="2">
        <v>45729</v>
      </c>
      <c r="L29">
        <v>29</v>
      </c>
      <c r="M29" t="s">
        <v>588</v>
      </c>
      <c r="N29" t="s">
        <v>686</v>
      </c>
    </row>
    <row r="30" spans="1:14" ht="16.5" x14ac:dyDescent="0.25">
      <c r="A30" t="s">
        <v>2</v>
      </c>
      <c r="B30" s="4">
        <v>45692</v>
      </c>
      <c r="C30" t="s">
        <v>15</v>
      </c>
      <c r="D30" t="s">
        <v>97</v>
      </c>
      <c r="E30" t="s">
        <v>203</v>
      </c>
      <c r="F30" t="s">
        <v>327</v>
      </c>
      <c r="H30" t="s">
        <v>506</v>
      </c>
      <c r="I30" t="s">
        <v>570</v>
      </c>
      <c r="J30" s="2">
        <v>45729</v>
      </c>
      <c r="K30" s="2">
        <v>45729</v>
      </c>
      <c r="L30">
        <v>30</v>
      </c>
      <c r="M30" t="s">
        <v>588</v>
      </c>
      <c r="N30" t="s">
        <v>686</v>
      </c>
    </row>
    <row r="31" spans="1:14" ht="16.5" x14ac:dyDescent="0.25">
      <c r="B31" s="4">
        <v>45722</v>
      </c>
      <c r="C31" t="s">
        <v>14</v>
      </c>
      <c r="D31" t="s">
        <v>98</v>
      </c>
      <c r="E31" t="s">
        <v>214</v>
      </c>
      <c r="F31" t="s">
        <v>328</v>
      </c>
      <c r="H31" t="s">
        <v>506</v>
      </c>
      <c r="I31" t="s">
        <v>570</v>
      </c>
      <c r="J31" s="2">
        <v>45730</v>
      </c>
      <c r="K31" s="2">
        <v>45730</v>
      </c>
      <c r="L31">
        <v>31</v>
      </c>
      <c r="M31" t="s">
        <v>589</v>
      </c>
      <c r="N31" t="s">
        <v>687</v>
      </c>
    </row>
    <row r="32" spans="1:14" ht="16.5" x14ac:dyDescent="0.25">
      <c r="B32" s="4">
        <v>45722</v>
      </c>
      <c r="C32" t="s">
        <v>14</v>
      </c>
      <c r="D32" t="s">
        <v>98</v>
      </c>
      <c r="E32" t="s">
        <v>208</v>
      </c>
      <c r="F32" t="s">
        <v>328</v>
      </c>
      <c r="H32" t="s">
        <v>506</v>
      </c>
      <c r="I32" t="s">
        <v>570</v>
      </c>
      <c r="J32" s="2">
        <v>45730</v>
      </c>
      <c r="K32" s="2">
        <v>45730</v>
      </c>
      <c r="L32">
        <v>32</v>
      </c>
      <c r="M32" t="s">
        <v>589</v>
      </c>
      <c r="N32" t="s">
        <v>687</v>
      </c>
    </row>
    <row r="33" spans="1:14" ht="16.5" x14ac:dyDescent="0.25">
      <c r="B33" s="4">
        <v>45693</v>
      </c>
      <c r="C33" t="s">
        <v>16</v>
      </c>
      <c r="D33" t="s">
        <v>99</v>
      </c>
      <c r="E33" t="s">
        <v>215</v>
      </c>
      <c r="F33" t="s">
        <v>329</v>
      </c>
      <c r="H33" t="s">
        <v>507</v>
      </c>
      <c r="I33" t="s">
        <v>566</v>
      </c>
      <c r="J33" s="2">
        <v>45734</v>
      </c>
      <c r="K33" s="2">
        <v>45735</v>
      </c>
      <c r="L33">
        <v>33</v>
      </c>
      <c r="M33" t="s">
        <v>590</v>
      </c>
      <c r="N33" t="s">
        <v>688</v>
      </c>
    </row>
    <row r="34" spans="1:14" ht="16.5" x14ac:dyDescent="0.25">
      <c r="B34" s="4">
        <v>45693</v>
      </c>
      <c r="C34" t="s">
        <v>16</v>
      </c>
      <c r="D34" t="s">
        <v>99</v>
      </c>
      <c r="E34" t="s">
        <v>203</v>
      </c>
      <c r="F34" t="s">
        <v>329</v>
      </c>
      <c r="H34" t="s">
        <v>507</v>
      </c>
      <c r="I34" t="s">
        <v>566</v>
      </c>
      <c r="J34" s="2">
        <v>45734</v>
      </c>
      <c r="K34" s="2">
        <v>45735</v>
      </c>
      <c r="L34">
        <v>34</v>
      </c>
      <c r="M34" t="s">
        <v>590</v>
      </c>
      <c r="N34" t="s">
        <v>688</v>
      </c>
    </row>
    <row r="35" spans="1:14" ht="16.5" x14ac:dyDescent="0.25">
      <c r="A35" t="s">
        <v>0</v>
      </c>
      <c r="B35" s="4">
        <v>45716</v>
      </c>
      <c r="C35" t="s">
        <v>17</v>
      </c>
      <c r="D35" t="s">
        <v>100</v>
      </c>
      <c r="E35" t="s">
        <v>216</v>
      </c>
      <c r="F35" t="s">
        <v>330</v>
      </c>
      <c r="H35" t="s">
        <v>508</v>
      </c>
      <c r="I35" t="s">
        <v>565</v>
      </c>
      <c r="J35" s="2">
        <v>45733</v>
      </c>
      <c r="K35" s="2">
        <v>45734</v>
      </c>
      <c r="L35">
        <v>35</v>
      </c>
      <c r="M35" t="s">
        <v>591</v>
      </c>
      <c r="N35" t="s">
        <v>689</v>
      </c>
    </row>
    <row r="36" spans="1:14" ht="16.5" x14ac:dyDescent="0.25">
      <c r="A36" t="s">
        <v>0</v>
      </c>
      <c r="B36" s="4">
        <v>45716</v>
      </c>
      <c r="C36" t="s">
        <v>17</v>
      </c>
      <c r="D36" t="s">
        <v>100</v>
      </c>
      <c r="E36" t="s">
        <v>203</v>
      </c>
      <c r="F36" t="s">
        <v>330</v>
      </c>
      <c r="H36" t="s">
        <v>509</v>
      </c>
      <c r="I36" t="s">
        <v>565</v>
      </c>
      <c r="J36" s="2">
        <v>45733</v>
      </c>
      <c r="K36" s="2">
        <v>45734</v>
      </c>
      <c r="L36">
        <v>36</v>
      </c>
      <c r="M36" t="s">
        <v>591</v>
      </c>
      <c r="N36" t="s">
        <v>689</v>
      </c>
    </row>
    <row r="37" spans="1:14" ht="16.5" x14ac:dyDescent="0.25">
      <c r="A37" t="s">
        <v>1</v>
      </c>
      <c r="B37" s="4">
        <v>45693</v>
      </c>
      <c r="C37" t="s">
        <v>13</v>
      </c>
      <c r="D37" t="s">
        <v>90</v>
      </c>
      <c r="E37" t="s">
        <v>206</v>
      </c>
      <c r="F37" t="s">
        <v>331</v>
      </c>
      <c r="H37" t="s">
        <v>507</v>
      </c>
      <c r="I37" t="s">
        <v>566</v>
      </c>
      <c r="J37" s="2">
        <v>45737</v>
      </c>
      <c r="K37" s="2">
        <v>45738</v>
      </c>
      <c r="L37">
        <v>37</v>
      </c>
      <c r="M37" t="s">
        <v>583</v>
      </c>
      <c r="N37" t="s">
        <v>681</v>
      </c>
    </row>
    <row r="38" spans="1:14" ht="16.5" x14ac:dyDescent="0.25">
      <c r="A38" t="s">
        <v>2</v>
      </c>
      <c r="B38" s="4">
        <v>45693</v>
      </c>
      <c r="C38" t="s">
        <v>13</v>
      </c>
      <c r="D38" t="s">
        <v>90</v>
      </c>
      <c r="E38" t="s">
        <v>203</v>
      </c>
      <c r="F38" t="s">
        <v>331</v>
      </c>
      <c r="H38" t="s">
        <v>507</v>
      </c>
      <c r="I38" t="s">
        <v>568</v>
      </c>
      <c r="J38" s="2">
        <v>45737</v>
      </c>
      <c r="K38" s="2">
        <v>45738</v>
      </c>
      <c r="L38">
        <v>38</v>
      </c>
      <c r="M38" t="s">
        <v>583</v>
      </c>
      <c r="N38" t="s">
        <v>681</v>
      </c>
    </row>
    <row r="39" spans="1:14" ht="16.5" x14ac:dyDescent="0.25">
      <c r="A39" t="s">
        <v>1</v>
      </c>
      <c r="B39" s="4">
        <v>45727</v>
      </c>
      <c r="C39" t="s">
        <v>18</v>
      </c>
      <c r="D39" t="s">
        <v>101</v>
      </c>
      <c r="E39" t="s">
        <v>217</v>
      </c>
      <c r="F39" t="s">
        <v>331</v>
      </c>
      <c r="H39" t="s">
        <v>507</v>
      </c>
      <c r="I39" t="s">
        <v>566</v>
      </c>
      <c r="J39" s="2">
        <v>45737</v>
      </c>
      <c r="K39" s="2">
        <v>45738</v>
      </c>
      <c r="L39">
        <v>39</v>
      </c>
      <c r="M39" t="s">
        <v>592</v>
      </c>
      <c r="N39" t="s">
        <v>690</v>
      </c>
    </row>
    <row r="40" spans="1:14" ht="16.5" x14ac:dyDescent="0.25">
      <c r="A40" t="s">
        <v>2</v>
      </c>
      <c r="B40" s="4">
        <v>45727</v>
      </c>
      <c r="C40" t="s">
        <v>18</v>
      </c>
      <c r="D40" t="s">
        <v>101</v>
      </c>
      <c r="E40" t="s">
        <v>203</v>
      </c>
      <c r="F40" t="s">
        <v>331</v>
      </c>
      <c r="H40" t="s">
        <v>507</v>
      </c>
      <c r="I40" t="s">
        <v>568</v>
      </c>
      <c r="J40" s="2">
        <v>45737</v>
      </c>
      <c r="K40" s="2">
        <v>45738</v>
      </c>
      <c r="L40">
        <v>40</v>
      </c>
      <c r="M40" t="s">
        <v>592</v>
      </c>
      <c r="N40" t="s">
        <v>690</v>
      </c>
    </row>
    <row r="41" spans="1:14" ht="16.5" x14ac:dyDescent="0.25">
      <c r="A41" t="s">
        <v>1</v>
      </c>
      <c r="B41" s="4">
        <v>45730</v>
      </c>
      <c r="C41" t="s">
        <v>19</v>
      </c>
      <c r="D41" t="s">
        <v>102</v>
      </c>
      <c r="E41" t="s">
        <v>218</v>
      </c>
      <c r="F41" t="s">
        <v>331</v>
      </c>
      <c r="H41" t="s">
        <v>507</v>
      </c>
      <c r="I41" t="s">
        <v>566</v>
      </c>
      <c r="J41" s="2">
        <v>45737</v>
      </c>
      <c r="K41" s="2">
        <v>45738</v>
      </c>
      <c r="L41">
        <v>41</v>
      </c>
      <c r="M41" t="s">
        <v>593</v>
      </c>
      <c r="N41" t="s">
        <v>691</v>
      </c>
    </row>
    <row r="42" spans="1:14" ht="16.5" x14ac:dyDescent="0.25">
      <c r="A42" t="s">
        <v>2</v>
      </c>
      <c r="B42" s="4">
        <v>45730</v>
      </c>
      <c r="C42" t="s">
        <v>19</v>
      </c>
      <c r="D42" t="s">
        <v>102</v>
      </c>
      <c r="E42" t="s">
        <v>203</v>
      </c>
      <c r="F42" t="s">
        <v>331</v>
      </c>
      <c r="H42" t="s">
        <v>507</v>
      </c>
      <c r="I42" t="s">
        <v>568</v>
      </c>
      <c r="J42" s="2">
        <v>45737</v>
      </c>
      <c r="K42" s="2">
        <v>45738</v>
      </c>
      <c r="L42">
        <v>42</v>
      </c>
      <c r="M42" t="s">
        <v>593</v>
      </c>
      <c r="N42" t="s">
        <v>691</v>
      </c>
    </row>
    <row r="43" spans="1:14" ht="16.5" x14ac:dyDescent="0.25">
      <c r="B43" s="4">
        <v>45734</v>
      </c>
      <c r="C43" t="s">
        <v>20</v>
      </c>
      <c r="D43" t="s">
        <v>103</v>
      </c>
      <c r="E43" t="s">
        <v>219</v>
      </c>
      <c r="F43" t="s">
        <v>332</v>
      </c>
      <c r="H43" t="s">
        <v>577</v>
      </c>
      <c r="I43" t="s">
        <v>571</v>
      </c>
      <c r="J43" s="2">
        <v>45738</v>
      </c>
      <c r="K43" s="2">
        <v>45738</v>
      </c>
      <c r="L43">
        <v>43</v>
      </c>
      <c r="M43" t="s">
        <v>594</v>
      </c>
      <c r="N43" t="s">
        <v>692</v>
      </c>
    </row>
    <row r="44" spans="1:14" ht="16.5" x14ac:dyDescent="0.25">
      <c r="B44" s="4">
        <v>45734</v>
      </c>
      <c r="C44" t="s">
        <v>20</v>
      </c>
      <c r="D44" t="s">
        <v>103</v>
      </c>
      <c r="E44" t="s">
        <v>203</v>
      </c>
      <c r="F44" t="s">
        <v>332</v>
      </c>
      <c r="H44" t="s">
        <v>507</v>
      </c>
      <c r="I44" t="s">
        <v>571</v>
      </c>
      <c r="J44" s="2">
        <v>45738</v>
      </c>
      <c r="K44" s="2">
        <v>45738</v>
      </c>
      <c r="L44">
        <v>44</v>
      </c>
      <c r="M44" t="s">
        <v>594</v>
      </c>
      <c r="N44" t="s">
        <v>692</v>
      </c>
    </row>
    <row r="45" spans="1:14" ht="16.5" x14ac:dyDescent="0.25">
      <c r="B45" s="4">
        <v>45728</v>
      </c>
      <c r="C45" t="s">
        <v>21</v>
      </c>
      <c r="D45" t="s">
        <v>104</v>
      </c>
      <c r="E45" t="s">
        <v>220</v>
      </c>
      <c r="F45" t="s">
        <v>333</v>
      </c>
      <c r="H45" t="s">
        <v>507</v>
      </c>
      <c r="I45" t="s">
        <v>567</v>
      </c>
      <c r="J45" s="2">
        <v>45739</v>
      </c>
      <c r="K45" s="2">
        <v>45740</v>
      </c>
      <c r="L45">
        <v>45</v>
      </c>
      <c r="M45" t="s">
        <v>595</v>
      </c>
      <c r="N45" t="s">
        <v>693</v>
      </c>
    </row>
    <row r="46" spans="1:14" ht="16.5" x14ac:dyDescent="0.25">
      <c r="B46" s="4">
        <v>45728</v>
      </c>
      <c r="C46" t="s">
        <v>21</v>
      </c>
      <c r="D46" t="s">
        <v>104</v>
      </c>
      <c r="E46" t="s">
        <v>203</v>
      </c>
      <c r="F46" t="s">
        <v>333</v>
      </c>
      <c r="H46" t="s">
        <v>507</v>
      </c>
      <c r="I46" t="s">
        <v>567</v>
      </c>
      <c r="J46" s="2">
        <v>45739</v>
      </c>
      <c r="K46" s="2">
        <v>45740</v>
      </c>
      <c r="L46">
        <v>46</v>
      </c>
      <c r="M46" t="s">
        <v>595</v>
      </c>
      <c r="N46" t="s">
        <v>693</v>
      </c>
    </row>
    <row r="47" spans="1:14" ht="16.5" x14ac:dyDescent="0.25">
      <c r="B47" s="4">
        <v>45728</v>
      </c>
      <c r="C47" t="s">
        <v>22</v>
      </c>
      <c r="D47" t="s">
        <v>105</v>
      </c>
      <c r="E47" t="s">
        <v>221</v>
      </c>
      <c r="F47" t="s">
        <v>334</v>
      </c>
      <c r="H47" t="s">
        <v>510</v>
      </c>
      <c r="I47" t="s">
        <v>564</v>
      </c>
      <c r="J47" s="2">
        <v>45741</v>
      </c>
      <c r="K47" s="2">
        <v>45742</v>
      </c>
      <c r="L47">
        <v>47</v>
      </c>
      <c r="M47" t="s">
        <v>596</v>
      </c>
      <c r="N47" t="s">
        <v>694</v>
      </c>
    </row>
    <row r="48" spans="1:14" ht="16.5" x14ac:dyDescent="0.25">
      <c r="B48" s="4">
        <v>45728</v>
      </c>
      <c r="C48" t="s">
        <v>22</v>
      </c>
      <c r="D48" t="s">
        <v>105</v>
      </c>
      <c r="E48" t="s">
        <v>203</v>
      </c>
      <c r="F48" t="s">
        <v>334</v>
      </c>
      <c r="H48" t="s">
        <v>510</v>
      </c>
      <c r="I48" t="s">
        <v>564</v>
      </c>
      <c r="J48" s="2">
        <v>45741</v>
      </c>
      <c r="K48" s="2">
        <v>45742</v>
      </c>
      <c r="L48">
        <v>48</v>
      </c>
      <c r="M48" t="s">
        <v>596</v>
      </c>
      <c r="N48" t="s">
        <v>694</v>
      </c>
    </row>
    <row r="49" spans="1:14" ht="16.5" x14ac:dyDescent="0.25">
      <c r="B49" s="4">
        <v>45693</v>
      </c>
      <c r="C49" t="s">
        <v>13</v>
      </c>
      <c r="D49" t="s">
        <v>90</v>
      </c>
      <c r="E49" t="s">
        <v>206</v>
      </c>
      <c r="F49" t="s">
        <v>335</v>
      </c>
      <c r="H49" t="s">
        <v>510</v>
      </c>
      <c r="I49" t="s">
        <v>567</v>
      </c>
      <c r="J49" s="2">
        <v>45743</v>
      </c>
      <c r="K49" s="2">
        <v>45744</v>
      </c>
      <c r="L49">
        <v>49</v>
      </c>
      <c r="M49" t="s">
        <v>583</v>
      </c>
      <c r="N49" t="s">
        <v>681</v>
      </c>
    </row>
    <row r="50" spans="1:14" ht="16.5" x14ac:dyDescent="0.25">
      <c r="B50" s="4">
        <v>45693</v>
      </c>
      <c r="C50" t="s">
        <v>13</v>
      </c>
      <c r="D50" t="s">
        <v>90</v>
      </c>
      <c r="E50" t="s">
        <v>203</v>
      </c>
      <c r="F50" t="s">
        <v>335</v>
      </c>
      <c r="H50" t="s">
        <v>510</v>
      </c>
      <c r="I50" t="s">
        <v>567</v>
      </c>
      <c r="J50" s="2">
        <v>45743</v>
      </c>
      <c r="K50" s="2">
        <v>45744</v>
      </c>
      <c r="L50">
        <v>50</v>
      </c>
      <c r="M50" t="s">
        <v>583</v>
      </c>
      <c r="N50" t="s">
        <v>681</v>
      </c>
    </row>
    <row r="51" spans="1:14" ht="16.5" x14ac:dyDescent="0.25">
      <c r="A51" t="s">
        <v>0</v>
      </c>
      <c r="B51" s="4">
        <v>45712</v>
      </c>
      <c r="C51" t="s">
        <v>23</v>
      </c>
      <c r="D51" t="s">
        <v>100</v>
      </c>
      <c r="E51" t="s">
        <v>222</v>
      </c>
      <c r="F51" t="s">
        <v>336</v>
      </c>
      <c r="H51" t="s">
        <v>511</v>
      </c>
      <c r="I51" t="s">
        <v>565</v>
      </c>
      <c r="J51" s="2">
        <v>45743</v>
      </c>
      <c r="K51" s="2">
        <v>45743</v>
      </c>
      <c r="L51">
        <v>51</v>
      </c>
      <c r="M51" t="s">
        <v>591</v>
      </c>
      <c r="N51" t="s">
        <v>695</v>
      </c>
    </row>
    <row r="52" spans="1:14" ht="16.5" x14ac:dyDescent="0.25">
      <c r="A52" t="s">
        <v>0</v>
      </c>
      <c r="B52" s="4">
        <v>45712</v>
      </c>
      <c r="C52" t="s">
        <v>23</v>
      </c>
      <c r="D52" t="s">
        <v>100</v>
      </c>
      <c r="E52" t="s">
        <v>203</v>
      </c>
      <c r="F52" t="s">
        <v>336</v>
      </c>
      <c r="H52" t="s">
        <v>512</v>
      </c>
      <c r="I52" t="s">
        <v>565</v>
      </c>
      <c r="J52" s="2">
        <v>45743</v>
      </c>
      <c r="K52" s="2">
        <v>45743</v>
      </c>
      <c r="L52">
        <v>52</v>
      </c>
      <c r="M52" t="s">
        <v>591</v>
      </c>
      <c r="N52" t="s">
        <v>695</v>
      </c>
    </row>
    <row r="53" spans="1:14" ht="16.5" x14ac:dyDescent="0.25">
      <c r="B53" s="4">
        <v>45693</v>
      </c>
      <c r="C53" t="s">
        <v>13</v>
      </c>
      <c r="D53" t="s">
        <v>90</v>
      </c>
      <c r="E53" t="s">
        <v>206</v>
      </c>
      <c r="F53" t="s">
        <v>337</v>
      </c>
      <c r="H53" t="s">
        <v>513</v>
      </c>
      <c r="I53" t="s">
        <v>566</v>
      </c>
      <c r="J53" s="2">
        <v>45749</v>
      </c>
      <c r="K53" s="2">
        <v>45750</v>
      </c>
      <c r="L53">
        <v>53</v>
      </c>
      <c r="M53" t="s">
        <v>583</v>
      </c>
      <c r="N53" t="s">
        <v>681</v>
      </c>
    </row>
    <row r="54" spans="1:14" ht="16.5" x14ac:dyDescent="0.25">
      <c r="B54" s="4">
        <v>45693</v>
      </c>
      <c r="C54" t="s">
        <v>13</v>
      </c>
      <c r="D54" t="s">
        <v>90</v>
      </c>
      <c r="E54" t="s">
        <v>203</v>
      </c>
      <c r="F54" t="s">
        <v>337</v>
      </c>
      <c r="H54" t="s">
        <v>513</v>
      </c>
      <c r="I54" t="s">
        <v>566</v>
      </c>
      <c r="J54" s="2">
        <v>45749</v>
      </c>
      <c r="K54" s="2">
        <v>45750</v>
      </c>
      <c r="L54">
        <v>54</v>
      </c>
      <c r="M54" t="s">
        <v>583</v>
      </c>
      <c r="N54" t="s">
        <v>681</v>
      </c>
    </row>
    <row r="55" spans="1:14" ht="16.5" x14ac:dyDescent="0.25">
      <c r="B55" s="4">
        <v>45693</v>
      </c>
      <c r="C55" t="s">
        <v>13</v>
      </c>
      <c r="D55" t="s">
        <v>90</v>
      </c>
      <c r="E55" t="s">
        <v>206</v>
      </c>
      <c r="F55" t="s">
        <v>338</v>
      </c>
      <c r="H55" t="s">
        <v>513</v>
      </c>
      <c r="I55" t="s">
        <v>564</v>
      </c>
      <c r="J55" s="2">
        <v>45751</v>
      </c>
      <c r="K55" s="2">
        <v>45753</v>
      </c>
      <c r="L55">
        <v>55</v>
      </c>
      <c r="M55" t="s">
        <v>583</v>
      </c>
      <c r="N55" t="s">
        <v>681</v>
      </c>
    </row>
    <row r="56" spans="1:14" ht="16.5" x14ac:dyDescent="0.25">
      <c r="B56" s="4">
        <v>45693</v>
      </c>
      <c r="C56" t="s">
        <v>13</v>
      </c>
      <c r="D56" t="s">
        <v>90</v>
      </c>
      <c r="E56" t="s">
        <v>203</v>
      </c>
      <c r="F56" t="s">
        <v>338</v>
      </c>
      <c r="H56" t="s">
        <v>513</v>
      </c>
      <c r="I56" t="s">
        <v>564</v>
      </c>
      <c r="J56" s="2">
        <v>45751</v>
      </c>
      <c r="K56" s="2">
        <v>45753</v>
      </c>
      <c r="L56">
        <v>56</v>
      </c>
      <c r="M56" t="s">
        <v>583</v>
      </c>
      <c r="N56" t="s">
        <v>681</v>
      </c>
    </row>
    <row r="57" spans="1:14" ht="16.5" x14ac:dyDescent="0.25">
      <c r="B57" s="4">
        <v>45728</v>
      </c>
      <c r="C57" t="s">
        <v>22</v>
      </c>
      <c r="D57" t="s">
        <v>105</v>
      </c>
      <c r="E57" t="s">
        <v>221</v>
      </c>
      <c r="F57" t="s">
        <v>339</v>
      </c>
      <c r="H57" t="s">
        <v>513</v>
      </c>
      <c r="I57" t="s">
        <v>567</v>
      </c>
      <c r="J57" s="2">
        <v>45754</v>
      </c>
      <c r="K57" s="2">
        <v>45754</v>
      </c>
      <c r="L57">
        <v>57</v>
      </c>
      <c r="M57" t="s">
        <v>596</v>
      </c>
      <c r="N57" t="s">
        <v>694</v>
      </c>
    </row>
    <row r="58" spans="1:14" ht="16.5" x14ac:dyDescent="0.25">
      <c r="B58" s="4">
        <v>45728</v>
      </c>
      <c r="C58" t="s">
        <v>22</v>
      </c>
      <c r="D58" t="s">
        <v>105</v>
      </c>
      <c r="E58" t="s">
        <v>203</v>
      </c>
      <c r="F58" t="s">
        <v>339</v>
      </c>
      <c r="H58" t="s">
        <v>513</v>
      </c>
      <c r="I58" t="s">
        <v>567</v>
      </c>
      <c r="J58" s="2">
        <v>45754</v>
      </c>
      <c r="K58" s="2">
        <v>45754</v>
      </c>
      <c r="L58">
        <v>58</v>
      </c>
      <c r="M58" t="s">
        <v>596</v>
      </c>
      <c r="N58" t="s">
        <v>694</v>
      </c>
    </row>
    <row r="59" spans="1:14" ht="16.5" x14ac:dyDescent="0.25">
      <c r="A59" t="s">
        <v>0</v>
      </c>
      <c r="B59" s="4"/>
      <c r="C59" t="s">
        <v>22</v>
      </c>
      <c r="F59" t="s">
        <v>340</v>
      </c>
      <c r="H59" t="s">
        <v>514</v>
      </c>
      <c r="I59" t="s">
        <v>565</v>
      </c>
      <c r="J59" s="2">
        <v>45754</v>
      </c>
      <c r="K59" s="2">
        <v>45754</v>
      </c>
      <c r="L59">
        <v>59</v>
      </c>
      <c r="M59" t="s">
        <v>596</v>
      </c>
      <c r="N59" t="s">
        <v>694</v>
      </c>
    </row>
    <row r="60" spans="1:14" ht="16.5" x14ac:dyDescent="0.25">
      <c r="A60" t="s">
        <v>0</v>
      </c>
      <c r="B60" s="4"/>
      <c r="C60" t="s">
        <v>22</v>
      </c>
      <c r="F60" t="s">
        <v>340</v>
      </c>
      <c r="H60" t="s">
        <v>514</v>
      </c>
      <c r="I60" t="s">
        <v>565</v>
      </c>
      <c r="J60" s="2">
        <v>45754</v>
      </c>
      <c r="K60" s="2">
        <v>45754</v>
      </c>
      <c r="L60">
        <v>60</v>
      </c>
      <c r="M60" t="s">
        <v>596</v>
      </c>
      <c r="N60" t="s">
        <v>694</v>
      </c>
    </row>
    <row r="61" spans="1:14" ht="16.5" x14ac:dyDescent="0.25">
      <c r="B61" s="4">
        <v>45692</v>
      </c>
      <c r="C61" t="s">
        <v>11</v>
      </c>
      <c r="D61" t="s">
        <v>106</v>
      </c>
      <c r="E61" t="s">
        <v>223</v>
      </c>
      <c r="F61" t="s">
        <v>341</v>
      </c>
      <c r="H61" t="s">
        <v>515</v>
      </c>
      <c r="I61" t="s">
        <v>568</v>
      </c>
      <c r="J61" s="2">
        <v>45755</v>
      </c>
      <c r="K61" s="2">
        <v>45755</v>
      </c>
      <c r="L61">
        <v>61</v>
      </c>
      <c r="M61" t="s">
        <v>597</v>
      </c>
      <c r="N61" t="s">
        <v>696</v>
      </c>
    </row>
    <row r="62" spans="1:14" ht="16.5" x14ac:dyDescent="0.25">
      <c r="B62" s="4">
        <v>45692</v>
      </c>
      <c r="C62" t="s">
        <v>11</v>
      </c>
      <c r="D62" t="s">
        <v>106</v>
      </c>
      <c r="E62" t="s">
        <v>203</v>
      </c>
      <c r="F62" t="s">
        <v>341</v>
      </c>
      <c r="H62" t="s">
        <v>515</v>
      </c>
      <c r="I62" t="s">
        <v>568</v>
      </c>
      <c r="J62" s="2">
        <v>45755</v>
      </c>
      <c r="K62" s="2">
        <v>45755</v>
      </c>
      <c r="L62">
        <v>62</v>
      </c>
      <c r="M62" t="s">
        <v>597</v>
      </c>
      <c r="N62" t="s">
        <v>696</v>
      </c>
    </row>
    <row r="63" spans="1:14" ht="16.5" x14ac:dyDescent="0.25">
      <c r="B63" s="4">
        <v>45713</v>
      </c>
      <c r="C63" t="s">
        <v>24</v>
      </c>
      <c r="D63" t="s">
        <v>107</v>
      </c>
      <c r="E63" t="s">
        <v>224</v>
      </c>
      <c r="F63" t="s">
        <v>342</v>
      </c>
      <c r="H63" t="s">
        <v>516</v>
      </c>
      <c r="I63" t="s">
        <v>572</v>
      </c>
      <c r="J63" s="2">
        <v>45756</v>
      </c>
      <c r="K63" s="2">
        <v>45758</v>
      </c>
      <c r="L63">
        <v>63</v>
      </c>
      <c r="M63" t="s">
        <v>598</v>
      </c>
      <c r="N63" t="s">
        <v>697</v>
      </c>
    </row>
    <row r="64" spans="1:14" ht="16.5" x14ac:dyDescent="0.25">
      <c r="B64" s="4">
        <v>45713</v>
      </c>
      <c r="C64" t="s">
        <v>24</v>
      </c>
      <c r="D64" t="s">
        <v>107</v>
      </c>
      <c r="E64" t="s">
        <v>203</v>
      </c>
      <c r="F64" t="s">
        <v>342</v>
      </c>
      <c r="H64" t="s">
        <v>516</v>
      </c>
      <c r="I64" t="s">
        <v>572</v>
      </c>
      <c r="J64" s="2">
        <v>45756</v>
      </c>
      <c r="K64" s="2">
        <v>45758</v>
      </c>
      <c r="L64">
        <v>64</v>
      </c>
      <c r="M64" t="s">
        <v>598</v>
      </c>
      <c r="N64" t="s">
        <v>697</v>
      </c>
    </row>
    <row r="65" spans="1:14" ht="16.5" x14ac:dyDescent="0.25">
      <c r="B65" s="4">
        <v>45754</v>
      </c>
      <c r="C65" t="s">
        <v>25</v>
      </c>
      <c r="D65" t="s">
        <v>108</v>
      </c>
      <c r="E65" t="s">
        <v>224</v>
      </c>
      <c r="F65" t="s">
        <v>343</v>
      </c>
      <c r="H65" t="s">
        <v>517</v>
      </c>
      <c r="I65" t="s">
        <v>568</v>
      </c>
      <c r="J65" s="2">
        <v>45757</v>
      </c>
      <c r="K65" s="2">
        <v>45757</v>
      </c>
      <c r="L65">
        <v>65</v>
      </c>
      <c r="M65" t="s">
        <v>598</v>
      </c>
      <c r="N65" t="s">
        <v>697</v>
      </c>
    </row>
    <row r="66" spans="1:14" ht="16.5" x14ac:dyDescent="0.25">
      <c r="B66" s="4">
        <v>45754</v>
      </c>
      <c r="C66" t="s">
        <v>25</v>
      </c>
      <c r="D66" t="s">
        <v>108</v>
      </c>
      <c r="E66" t="s">
        <v>203</v>
      </c>
      <c r="F66" t="s">
        <v>343</v>
      </c>
      <c r="H66" t="s">
        <v>517</v>
      </c>
      <c r="I66" t="s">
        <v>568</v>
      </c>
      <c r="J66" s="2">
        <v>45757</v>
      </c>
      <c r="K66" s="2">
        <v>45757</v>
      </c>
      <c r="L66">
        <v>66</v>
      </c>
      <c r="M66" t="s">
        <v>598</v>
      </c>
      <c r="N66" t="s">
        <v>697</v>
      </c>
    </row>
    <row r="67" spans="1:14" ht="16.5" x14ac:dyDescent="0.25">
      <c r="B67" s="4">
        <v>45728</v>
      </c>
      <c r="C67" t="s">
        <v>18</v>
      </c>
      <c r="D67" t="s">
        <v>109</v>
      </c>
      <c r="E67" t="s">
        <v>225</v>
      </c>
      <c r="F67" t="s">
        <v>344</v>
      </c>
      <c r="H67" t="s">
        <v>518</v>
      </c>
      <c r="I67" t="s">
        <v>567</v>
      </c>
      <c r="J67" s="2">
        <v>45759</v>
      </c>
      <c r="K67" s="2">
        <v>45760</v>
      </c>
      <c r="L67">
        <v>67</v>
      </c>
      <c r="M67" t="s">
        <v>599</v>
      </c>
      <c r="N67" t="s">
        <v>698</v>
      </c>
    </row>
    <row r="68" spans="1:14" ht="16.5" x14ac:dyDescent="0.25">
      <c r="B68" s="4">
        <v>45728</v>
      </c>
      <c r="C68" t="s">
        <v>18</v>
      </c>
      <c r="D68" t="s">
        <v>109</v>
      </c>
      <c r="E68" t="s">
        <v>203</v>
      </c>
      <c r="F68" t="s">
        <v>344</v>
      </c>
      <c r="H68" t="s">
        <v>518</v>
      </c>
      <c r="I68" t="s">
        <v>567</v>
      </c>
      <c r="J68" s="2">
        <v>45759</v>
      </c>
      <c r="K68" s="2">
        <v>45760</v>
      </c>
      <c r="L68">
        <v>68</v>
      </c>
      <c r="M68" t="s">
        <v>599</v>
      </c>
      <c r="N68" t="s">
        <v>698</v>
      </c>
    </row>
    <row r="69" spans="1:14" ht="16.5" x14ac:dyDescent="0.25">
      <c r="B69" s="4">
        <v>45733</v>
      </c>
      <c r="C69" t="s">
        <v>11</v>
      </c>
      <c r="D69" t="s">
        <v>110</v>
      </c>
      <c r="E69" t="s">
        <v>226</v>
      </c>
      <c r="F69" t="s">
        <v>345</v>
      </c>
      <c r="H69" t="s">
        <v>518</v>
      </c>
      <c r="I69" t="s">
        <v>567</v>
      </c>
      <c r="J69" s="2">
        <v>45759</v>
      </c>
      <c r="K69" s="2">
        <v>45760</v>
      </c>
      <c r="L69">
        <v>69</v>
      </c>
      <c r="M69" t="s">
        <v>600</v>
      </c>
      <c r="N69" t="s">
        <v>699</v>
      </c>
    </row>
    <row r="70" spans="1:14" ht="16.5" x14ac:dyDescent="0.25">
      <c r="B70" s="4">
        <v>45733</v>
      </c>
      <c r="C70" t="s">
        <v>11</v>
      </c>
      <c r="D70" t="s">
        <v>110</v>
      </c>
      <c r="E70" t="s">
        <v>203</v>
      </c>
      <c r="F70" t="s">
        <v>345</v>
      </c>
      <c r="H70" t="s">
        <v>518</v>
      </c>
      <c r="I70" t="s">
        <v>567</v>
      </c>
      <c r="J70" s="2">
        <v>45759</v>
      </c>
      <c r="K70" s="2">
        <v>45760</v>
      </c>
      <c r="L70">
        <v>70</v>
      </c>
      <c r="M70" t="s">
        <v>600</v>
      </c>
      <c r="N70" t="s">
        <v>699</v>
      </c>
    </row>
    <row r="71" spans="1:14" ht="16.5" x14ac:dyDescent="0.25">
      <c r="B71" s="4">
        <v>45680</v>
      </c>
      <c r="C71" t="s">
        <v>26</v>
      </c>
      <c r="D71" t="s">
        <v>111</v>
      </c>
      <c r="E71" t="s">
        <v>227</v>
      </c>
      <c r="F71" t="s">
        <v>346</v>
      </c>
      <c r="H71" t="s">
        <v>519</v>
      </c>
      <c r="I71" t="s">
        <v>570</v>
      </c>
      <c r="J71" s="2">
        <v>45763</v>
      </c>
      <c r="K71" s="2">
        <v>45764</v>
      </c>
      <c r="L71">
        <v>71</v>
      </c>
      <c r="M71" t="s">
        <v>601</v>
      </c>
      <c r="N71" t="s">
        <v>700</v>
      </c>
    </row>
    <row r="72" spans="1:14" ht="16.5" x14ac:dyDescent="0.25">
      <c r="B72" s="4">
        <v>45680</v>
      </c>
      <c r="C72" t="s">
        <v>26</v>
      </c>
      <c r="D72" t="s">
        <v>111</v>
      </c>
      <c r="E72" t="s">
        <v>203</v>
      </c>
      <c r="F72" t="s">
        <v>346</v>
      </c>
      <c r="H72" t="s">
        <v>519</v>
      </c>
      <c r="I72" t="s">
        <v>570</v>
      </c>
      <c r="J72" s="2">
        <v>45763</v>
      </c>
      <c r="K72" s="2">
        <v>45764</v>
      </c>
      <c r="L72">
        <v>72</v>
      </c>
      <c r="M72" t="s">
        <v>601</v>
      </c>
      <c r="N72" t="s">
        <v>700</v>
      </c>
    </row>
    <row r="73" spans="1:14" ht="16.5" x14ac:dyDescent="0.25">
      <c r="B73" s="4">
        <v>45706</v>
      </c>
      <c r="C73" t="s">
        <v>27</v>
      </c>
      <c r="D73" t="s">
        <v>112</v>
      </c>
      <c r="E73" t="s">
        <v>228</v>
      </c>
      <c r="F73" t="s">
        <v>347</v>
      </c>
      <c r="H73" t="s">
        <v>519</v>
      </c>
      <c r="I73" t="s">
        <v>573</v>
      </c>
      <c r="J73" s="2">
        <v>45769</v>
      </c>
      <c r="K73" s="2">
        <v>45769</v>
      </c>
      <c r="L73">
        <v>73</v>
      </c>
      <c r="M73" t="s">
        <v>602</v>
      </c>
      <c r="N73" t="s">
        <v>701</v>
      </c>
    </row>
    <row r="74" spans="1:14" ht="16.5" x14ac:dyDescent="0.25">
      <c r="B74" s="4">
        <v>45706</v>
      </c>
      <c r="C74" t="s">
        <v>27</v>
      </c>
      <c r="D74" t="s">
        <v>112</v>
      </c>
      <c r="E74" t="s">
        <v>203</v>
      </c>
      <c r="F74" t="s">
        <v>347</v>
      </c>
      <c r="H74" t="s">
        <v>519</v>
      </c>
      <c r="I74" t="s">
        <v>573</v>
      </c>
      <c r="J74" s="2">
        <v>45769</v>
      </c>
      <c r="K74" s="2">
        <v>45769</v>
      </c>
      <c r="L74">
        <v>74</v>
      </c>
      <c r="M74" t="s">
        <v>602</v>
      </c>
      <c r="N74" t="s">
        <v>701</v>
      </c>
    </row>
    <row r="75" spans="1:14" ht="16.5" x14ac:dyDescent="0.25">
      <c r="A75" t="s">
        <v>0</v>
      </c>
      <c r="B75" s="4">
        <v>45705</v>
      </c>
      <c r="C75" t="s">
        <v>28</v>
      </c>
      <c r="D75" t="s">
        <v>113</v>
      </c>
      <c r="E75" t="s">
        <v>229</v>
      </c>
      <c r="F75" t="s">
        <v>348</v>
      </c>
      <c r="H75" t="s">
        <v>577</v>
      </c>
      <c r="I75" t="s">
        <v>565</v>
      </c>
      <c r="J75" s="2">
        <v>45770</v>
      </c>
      <c r="K75" s="2">
        <v>45770</v>
      </c>
      <c r="L75">
        <v>75</v>
      </c>
      <c r="M75" t="s">
        <v>603</v>
      </c>
      <c r="N75" t="s">
        <v>702</v>
      </c>
    </row>
    <row r="76" spans="1:14" ht="16.5" x14ac:dyDescent="0.25">
      <c r="A76" t="s">
        <v>0</v>
      </c>
      <c r="B76" s="4">
        <v>45705</v>
      </c>
      <c r="C76" t="s">
        <v>28</v>
      </c>
      <c r="D76" t="s">
        <v>114</v>
      </c>
      <c r="E76" t="s">
        <v>203</v>
      </c>
      <c r="F76" t="s">
        <v>348</v>
      </c>
      <c r="H76" t="s">
        <v>577</v>
      </c>
      <c r="I76" t="s">
        <v>565</v>
      </c>
      <c r="J76" s="2">
        <v>45770</v>
      </c>
      <c r="K76" s="2">
        <v>45770</v>
      </c>
      <c r="L76">
        <v>76</v>
      </c>
      <c r="M76" t="s">
        <v>604</v>
      </c>
      <c r="N76" t="s">
        <v>702</v>
      </c>
    </row>
    <row r="77" spans="1:14" ht="16.5" x14ac:dyDescent="0.25">
      <c r="A77" t="s">
        <v>0</v>
      </c>
      <c r="B77" s="4">
        <v>45757</v>
      </c>
      <c r="C77" t="s">
        <v>29</v>
      </c>
      <c r="D77" t="s">
        <v>115</v>
      </c>
      <c r="E77" t="s">
        <v>230</v>
      </c>
      <c r="F77" t="s">
        <v>349</v>
      </c>
      <c r="H77" t="s">
        <v>520</v>
      </c>
      <c r="I77" t="s">
        <v>565</v>
      </c>
      <c r="J77" s="2">
        <v>45775</v>
      </c>
      <c r="K77" s="2">
        <v>45775</v>
      </c>
      <c r="L77">
        <v>77</v>
      </c>
      <c r="M77" t="s">
        <v>605</v>
      </c>
      <c r="N77" t="s">
        <v>703</v>
      </c>
    </row>
    <row r="78" spans="1:14" ht="16.5" x14ac:dyDescent="0.25">
      <c r="A78" t="s">
        <v>0</v>
      </c>
      <c r="B78" s="4">
        <v>45757</v>
      </c>
      <c r="C78" t="s">
        <v>29</v>
      </c>
      <c r="D78" t="s">
        <v>115</v>
      </c>
      <c r="E78" t="s">
        <v>203</v>
      </c>
      <c r="F78" t="s">
        <v>349</v>
      </c>
      <c r="H78" t="s">
        <v>521</v>
      </c>
      <c r="I78" t="s">
        <v>565</v>
      </c>
      <c r="J78" s="2">
        <v>45775</v>
      </c>
      <c r="K78" s="2">
        <v>45775</v>
      </c>
      <c r="L78">
        <v>78</v>
      </c>
      <c r="M78" t="s">
        <v>605</v>
      </c>
      <c r="N78" t="s">
        <v>703</v>
      </c>
    </row>
    <row r="79" spans="1:14" ht="16.5" x14ac:dyDescent="0.25">
      <c r="B79" s="4">
        <v>45729</v>
      </c>
      <c r="C79" t="s">
        <v>30</v>
      </c>
      <c r="D79" t="s">
        <v>116</v>
      </c>
      <c r="E79" t="s">
        <v>231</v>
      </c>
      <c r="F79" t="s">
        <v>350</v>
      </c>
      <c r="H79" t="s">
        <v>522</v>
      </c>
      <c r="I79" t="s">
        <v>567</v>
      </c>
      <c r="J79" s="2">
        <v>45775</v>
      </c>
      <c r="K79" s="2">
        <v>45776</v>
      </c>
      <c r="L79">
        <v>79</v>
      </c>
      <c r="M79" t="s">
        <v>606</v>
      </c>
      <c r="N79" t="s">
        <v>704</v>
      </c>
    </row>
    <row r="80" spans="1:14" ht="16.5" x14ac:dyDescent="0.25">
      <c r="B80" s="4">
        <v>45729</v>
      </c>
      <c r="C80" t="s">
        <v>30</v>
      </c>
      <c r="D80" t="s">
        <v>116</v>
      </c>
      <c r="E80" t="s">
        <v>208</v>
      </c>
      <c r="F80" t="s">
        <v>350</v>
      </c>
      <c r="H80" t="s">
        <v>522</v>
      </c>
      <c r="I80" t="s">
        <v>567</v>
      </c>
      <c r="J80" s="2">
        <v>45775</v>
      </c>
      <c r="K80" s="2">
        <v>45776</v>
      </c>
      <c r="L80">
        <v>80</v>
      </c>
      <c r="M80" t="s">
        <v>606</v>
      </c>
      <c r="N80" t="s">
        <v>704</v>
      </c>
    </row>
    <row r="81" spans="2:14" ht="16.5" x14ac:dyDescent="0.25">
      <c r="B81" s="4">
        <v>45734</v>
      </c>
      <c r="C81" t="s">
        <v>31</v>
      </c>
      <c r="D81" t="s">
        <v>117</v>
      </c>
      <c r="E81" t="s">
        <v>232</v>
      </c>
      <c r="F81" t="s">
        <v>351</v>
      </c>
      <c r="H81" t="s">
        <v>522</v>
      </c>
      <c r="I81" t="s">
        <v>567</v>
      </c>
      <c r="J81" s="2">
        <v>45775</v>
      </c>
      <c r="K81" s="2">
        <v>45776</v>
      </c>
      <c r="L81">
        <v>81</v>
      </c>
      <c r="M81" t="s">
        <v>607</v>
      </c>
      <c r="N81" t="s">
        <v>705</v>
      </c>
    </row>
    <row r="82" spans="2:14" ht="16.5" x14ac:dyDescent="0.25">
      <c r="B82" s="4">
        <v>45734</v>
      </c>
      <c r="C82" t="s">
        <v>31</v>
      </c>
      <c r="D82" t="s">
        <v>117</v>
      </c>
      <c r="E82" t="s">
        <v>203</v>
      </c>
      <c r="F82" t="s">
        <v>351</v>
      </c>
      <c r="H82" t="s">
        <v>522</v>
      </c>
      <c r="I82" t="s">
        <v>567</v>
      </c>
      <c r="J82" s="2">
        <v>45775</v>
      </c>
      <c r="K82" s="2">
        <v>45776</v>
      </c>
      <c r="L82">
        <v>82</v>
      </c>
      <c r="M82" t="s">
        <v>607</v>
      </c>
      <c r="N82" t="s">
        <v>705</v>
      </c>
    </row>
    <row r="83" spans="2:14" ht="16.5" x14ac:dyDescent="0.25">
      <c r="B83" s="4">
        <v>45728</v>
      </c>
      <c r="C83" t="s">
        <v>22</v>
      </c>
      <c r="D83" t="s">
        <v>105</v>
      </c>
      <c r="E83" t="s">
        <v>221</v>
      </c>
      <c r="F83" t="s">
        <v>352</v>
      </c>
      <c r="H83" t="s">
        <v>522</v>
      </c>
      <c r="I83" t="s">
        <v>568</v>
      </c>
      <c r="J83" s="2">
        <v>45779</v>
      </c>
      <c r="K83" s="2">
        <v>45782</v>
      </c>
      <c r="L83">
        <v>83</v>
      </c>
      <c r="M83" t="s">
        <v>596</v>
      </c>
      <c r="N83" t="s">
        <v>694</v>
      </c>
    </row>
    <row r="84" spans="2:14" ht="16.5" x14ac:dyDescent="0.25">
      <c r="B84" s="4">
        <v>45728</v>
      </c>
      <c r="C84" t="s">
        <v>22</v>
      </c>
      <c r="D84" t="s">
        <v>105</v>
      </c>
      <c r="E84" t="s">
        <v>203</v>
      </c>
      <c r="F84" t="s">
        <v>352</v>
      </c>
      <c r="H84" t="s">
        <v>522</v>
      </c>
      <c r="I84" t="s">
        <v>568</v>
      </c>
      <c r="J84" s="2">
        <v>45779</v>
      </c>
      <c r="K84" s="2">
        <v>45782</v>
      </c>
      <c r="L84">
        <v>84</v>
      </c>
      <c r="M84" t="s">
        <v>596</v>
      </c>
      <c r="N84" t="s">
        <v>694</v>
      </c>
    </row>
    <row r="85" spans="2:14" ht="16.5" x14ac:dyDescent="0.25">
      <c r="B85" s="4">
        <v>45692</v>
      </c>
      <c r="C85" t="s">
        <v>11</v>
      </c>
      <c r="D85" t="s">
        <v>106</v>
      </c>
      <c r="E85" t="s">
        <v>223</v>
      </c>
      <c r="F85" t="s">
        <v>353</v>
      </c>
      <c r="H85" t="s">
        <v>523</v>
      </c>
      <c r="I85" t="s">
        <v>574</v>
      </c>
      <c r="J85" s="2">
        <v>45783</v>
      </c>
      <c r="K85" s="2">
        <v>45783</v>
      </c>
      <c r="L85">
        <v>85</v>
      </c>
      <c r="M85" t="s">
        <v>597</v>
      </c>
      <c r="N85" t="s">
        <v>696</v>
      </c>
    </row>
    <row r="86" spans="2:14" ht="16.5" x14ac:dyDescent="0.25">
      <c r="B86" s="4">
        <v>45692</v>
      </c>
      <c r="C86" t="s">
        <v>11</v>
      </c>
      <c r="D86" t="s">
        <v>106</v>
      </c>
      <c r="E86" t="s">
        <v>203</v>
      </c>
      <c r="F86" t="s">
        <v>353</v>
      </c>
      <c r="H86" t="s">
        <v>523</v>
      </c>
      <c r="I86" t="s">
        <v>574</v>
      </c>
      <c r="J86" s="2">
        <v>45783</v>
      </c>
      <c r="K86" s="2">
        <v>45783</v>
      </c>
      <c r="L86">
        <v>86</v>
      </c>
      <c r="M86" t="s">
        <v>597</v>
      </c>
      <c r="N86" t="s">
        <v>696</v>
      </c>
    </row>
    <row r="87" spans="2:14" ht="16.5" x14ac:dyDescent="0.25">
      <c r="B87" s="4">
        <v>45754</v>
      </c>
      <c r="C87" t="s">
        <v>25</v>
      </c>
      <c r="D87" t="s">
        <v>118</v>
      </c>
      <c r="E87" t="s">
        <v>233</v>
      </c>
      <c r="F87" t="s">
        <v>343</v>
      </c>
      <c r="H87" t="s">
        <v>524</v>
      </c>
      <c r="I87" t="s">
        <v>568</v>
      </c>
      <c r="J87" s="2">
        <v>45784</v>
      </c>
      <c r="K87" s="2">
        <v>45784</v>
      </c>
      <c r="L87">
        <v>87</v>
      </c>
      <c r="M87" t="s">
        <v>608</v>
      </c>
      <c r="N87" t="s">
        <v>706</v>
      </c>
    </row>
    <row r="88" spans="2:14" ht="16.5" x14ac:dyDescent="0.25">
      <c r="B88" s="4">
        <v>45754</v>
      </c>
      <c r="C88" t="s">
        <v>25</v>
      </c>
      <c r="D88" t="s">
        <v>118</v>
      </c>
      <c r="E88" t="s">
        <v>203</v>
      </c>
      <c r="F88" t="s">
        <v>343</v>
      </c>
      <c r="H88" t="s">
        <v>524</v>
      </c>
      <c r="I88" t="s">
        <v>568</v>
      </c>
      <c r="J88" s="2">
        <v>45784</v>
      </c>
      <c r="K88" s="2">
        <v>45784</v>
      </c>
      <c r="L88">
        <v>88</v>
      </c>
      <c r="M88" t="s">
        <v>608</v>
      </c>
      <c r="N88" t="s">
        <v>706</v>
      </c>
    </row>
    <row r="89" spans="2:14" ht="16.5" x14ac:dyDescent="0.25">
      <c r="B89" s="4">
        <v>45692</v>
      </c>
      <c r="C89" t="s">
        <v>11</v>
      </c>
      <c r="D89" t="s">
        <v>106</v>
      </c>
      <c r="E89" t="s">
        <v>223</v>
      </c>
      <c r="F89" t="s">
        <v>354</v>
      </c>
      <c r="H89" t="s">
        <v>524</v>
      </c>
      <c r="I89" t="s">
        <v>566</v>
      </c>
      <c r="J89" s="2">
        <v>45785</v>
      </c>
      <c r="K89" s="2">
        <v>45785</v>
      </c>
      <c r="L89">
        <v>89</v>
      </c>
      <c r="M89" t="s">
        <v>597</v>
      </c>
      <c r="N89" t="s">
        <v>696</v>
      </c>
    </row>
    <row r="90" spans="2:14" ht="16.5" x14ac:dyDescent="0.25">
      <c r="B90" s="4">
        <v>45692</v>
      </c>
      <c r="C90" t="s">
        <v>11</v>
      </c>
      <c r="D90" t="s">
        <v>106</v>
      </c>
      <c r="E90" t="s">
        <v>203</v>
      </c>
      <c r="F90" t="s">
        <v>354</v>
      </c>
      <c r="H90" t="s">
        <v>524</v>
      </c>
      <c r="I90" t="s">
        <v>566</v>
      </c>
      <c r="J90" s="2">
        <v>45785</v>
      </c>
      <c r="K90" s="2">
        <v>45785</v>
      </c>
      <c r="L90">
        <v>90</v>
      </c>
      <c r="M90" t="s">
        <v>597</v>
      </c>
      <c r="N90" t="s">
        <v>696</v>
      </c>
    </row>
    <row r="91" spans="2:14" ht="16.5" x14ac:dyDescent="0.25">
      <c r="B91" s="4">
        <v>45770</v>
      </c>
      <c r="C91" t="s">
        <v>18</v>
      </c>
      <c r="D91" t="s">
        <v>119</v>
      </c>
      <c r="E91" t="s">
        <v>234</v>
      </c>
      <c r="F91" t="s">
        <v>355</v>
      </c>
      <c r="H91" t="s">
        <v>524</v>
      </c>
      <c r="I91" t="s">
        <v>566</v>
      </c>
      <c r="J91" s="2">
        <v>45785</v>
      </c>
      <c r="K91" s="2">
        <v>45785</v>
      </c>
      <c r="L91">
        <v>91</v>
      </c>
      <c r="M91" t="s">
        <v>609</v>
      </c>
      <c r="N91" t="s">
        <v>707</v>
      </c>
    </row>
    <row r="92" spans="2:14" ht="16.5" x14ac:dyDescent="0.25">
      <c r="B92" s="4">
        <v>45770</v>
      </c>
      <c r="C92" t="s">
        <v>18</v>
      </c>
      <c r="D92" t="s">
        <v>119</v>
      </c>
      <c r="E92" t="s">
        <v>208</v>
      </c>
      <c r="F92" t="s">
        <v>355</v>
      </c>
      <c r="H92" t="s">
        <v>524</v>
      </c>
      <c r="I92" t="s">
        <v>566</v>
      </c>
      <c r="J92" s="2">
        <v>45785</v>
      </c>
      <c r="K92" s="2">
        <v>45785</v>
      </c>
      <c r="L92">
        <v>92</v>
      </c>
      <c r="M92" t="s">
        <v>609</v>
      </c>
      <c r="N92" t="s">
        <v>707</v>
      </c>
    </row>
    <row r="93" spans="2:14" ht="16.5" x14ac:dyDescent="0.25">
      <c r="B93" s="4">
        <v>45692</v>
      </c>
      <c r="C93" t="s">
        <v>32</v>
      </c>
      <c r="D93" t="s">
        <v>120</v>
      </c>
      <c r="E93" t="s">
        <v>235</v>
      </c>
      <c r="F93" t="s">
        <v>356</v>
      </c>
      <c r="H93" t="s">
        <v>524</v>
      </c>
      <c r="I93" t="s">
        <v>569</v>
      </c>
      <c r="J93" s="2">
        <v>45787</v>
      </c>
      <c r="K93" s="2">
        <v>45788</v>
      </c>
      <c r="L93">
        <v>93</v>
      </c>
      <c r="M93" t="s">
        <v>610</v>
      </c>
      <c r="N93" t="s">
        <v>708</v>
      </c>
    </row>
    <row r="94" spans="2:14" ht="16.5" x14ac:dyDescent="0.25">
      <c r="B94" s="4">
        <v>45692</v>
      </c>
      <c r="C94" t="s">
        <v>32</v>
      </c>
      <c r="D94" t="s">
        <v>120</v>
      </c>
      <c r="E94" t="s">
        <v>203</v>
      </c>
      <c r="F94" t="s">
        <v>356</v>
      </c>
      <c r="H94" t="s">
        <v>524</v>
      </c>
      <c r="I94" t="s">
        <v>569</v>
      </c>
      <c r="J94" s="2">
        <v>45787</v>
      </c>
      <c r="K94" s="2">
        <v>45788</v>
      </c>
      <c r="L94">
        <v>94</v>
      </c>
      <c r="M94" t="s">
        <v>610</v>
      </c>
      <c r="N94" t="s">
        <v>708</v>
      </c>
    </row>
    <row r="95" spans="2:14" ht="16.5" x14ac:dyDescent="0.25">
      <c r="B95" s="4">
        <v>45776</v>
      </c>
      <c r="C95" t="s">
        <v>33</v>
      </c>
      <c r="D95" t="s">
        <v>121</v>
      </c>
      <c r="E95" t="s">
        <v>236</v>
      </c>
      <c r="F95" t="s">
        <v>357</v>
      </c>
      <c r="H95" t="s">
        <v>525</v>
      </c>
      <c r="I95" t="s">
        <v>567</v>
      </c>
      <c r="J95" s="2">
        <v>45789</v>
      </c>
      <c r="K95" s="2">
        <v>45791</v>
      </c>
      <c r="L95">
        <v>95</v>
      </c>
      <c r="M95" t="s">
        <v>611</v>
      </c>
      <c r="N95" t="s">
        <v>709</v>
      </c>
    </row>
    <row r="96" spans="2:14" ht="16.5" x14ac:dyDescent="0.25">
      <c r="B96" s="4">
        <v>45776</v>
      </c>
      <c r="C96" t="s">
        <v>33</v>
      </c>
      <c r="D96" t="s">
        <v>121</v>
      </c>
      <c r="E96" t="s">
        <v>203</v>
      </c>
      <c r="F96" t="s">
        <v>357</v>
      </c>
      <c r="H96" t="s">
        <v>525</v>
      </c>
      <c r="I96" t="s">
        <v>567</v>
      </c>
      <c r="J96" s="2">
        <v>45789</v>
      </c>
      <c r="K96" s="2">
        <v>45791</v>
      </c>
      <c r="L96">
        <v>96</v>
      </c>
      <c r="M96" t="s">
        <v>611</v>
      </c>
      <c r="N96" t="s">
        <v>709</v>
      </c>
    </row>
    <row r="97" spans="1:14" ht="16.5" x14ac:dyDescent="0.25">
      <c r="B97" s="4">
        <v>45867</v>
      </c>
      <c r="C97" t="s">
        <v>34</v>
      </c>
      <c r="D97" t="s">
        <v>122</v>
      </c>
      <c r="E97" t="s">
        <v>237</v>
      </c>
      <c r="F97" t="s">
        <v>358</v>
      </c>
      <c r="H97" t="s">
        <v>525</v>
      </c>
      <c r="I97" t="s">
        <v>564</v>
      </c>
      <c r="J97" s="2">
        <v>45792</v>
      </c>
      <c r="K97" s="2">
        <v>45793</v>
      </c>
      <c r="L97">
        <v>97</v>
      </c>
      <c r="M97" t="s">
        <v>612</v>
      </c>
      <c r="N97" t="s">
        <v>710</v>
      </c>
    </row>
    <row r="98" spans="1:14" ht="16.5" x14ac:dyDescent="0.25">
      <c r="B98" s="4">
        <v>45867</v>
      </c>
      <c r="C98" t="s">
        <v>34</v>
      </c>
      <c r="D98" t="s">
        <v>122</v>
      </c>
      <c r="E98" t="s">
        <v>203</v>
      </c>
      <c r="F98" t="s">
        <v>358</v>
      </c>
      <c r="H98" t="s">
        <v>525</v>
      </c>
      <c r="I98" t="s">
        <v>564</v>
      </c>
      <c r="J98" s="2">
        <v>45792</v>
      </c>
      <c r="K98" s="2">
        <v>45793</v>
      </c>
      <c r="L98">
        <v>98</v>
      </c>
      <c r="M98" t="s">
        <v>612</v>
      </c>
      <c r="N98" t="s">
        <v>710</v>
      </c>
    </row>
    <row r="99" spans="1:14" ht="16.5" x14ac:dyDescent="0.25">
      <c r="A99" t="s">
        <v>0</v>
      </c>
      <c r="B99" s="4">
        <v>45793</v>
      </c>
      <c r="C99" t="s">
        <v>35</v>
      </c>
      <c r="D99" t="s">
        <v>123</v>
      </c>
      <c r="E99" t="s">
        <v>238</v>
      </c>
      <c r="F99" t="s">
        <v>359</v>
      </c>
      <c r="H99" t="s">
        <v>577</v>
      </c>
      <c r="I99" t="s">
        <v>565</v>
      </c>
      <c r="J99" s="2">
        <v>45794</v>
      </c>
      <c r="K99" s="2">
        <v>45795</v>
      </c>
      <c r="L99">
        <v>99</v>
      </c>
      <c r="M99" t="s">
        <v>612</v>
      </c>
      <c r="N99" t="s">
        <v>711</v>
      </c>
    </row>
    <row r="100" spans="1:14" ht="16.5" x14ac:dyDescent="0.25">
      <c r="A100" t="s">
        <v>0</v>
      </c>
      <c r="B100" s="4">
        <v>45793</v>
      </c>
      <c r="C100" t="s">
        <v>35</v>
      </c>
      <c r="D100" t="s">
        <v>123</v>
      </c>
      <c r="E100" t="s">
        <v>203</v>
      </c>
      <c r="F100" t="s">
        <v>359</v>
      </c>
      <c r="H100" t="s">
        <v>577</v>
      </c>
      <c r="I100" t="s">
        <v>565</v>
      </c>
      <c r="J100" s="2">
        <v>45794</v>
      </c>
      <c r="K100" s="2">
        <v>45795</v>
      </c>
      <c r="L100">
        <v>100</v>
      </c>
      <c r="M100" t="s">
        <v>612</v>
      </c>
      <c r="N100" t="s">
        <v>711</v>
      </c>
    </row>
    <row r="101" spans="1:14" ht="16.5" x14ac:dyDescent="0.25">
      <c r="B101" s="4">
        <v>45692</v>
      </c>
      <c r="C101" t="s">
        <v>32</v>
      </c>
      <c r="D101" t="s">
        <v>120</v>
      </c>
      <c r="E101" t="s">
        <v>235</v>
      </c>
      <c r="F101" t="s">
        <v>360</v>
      </c>
      <c r="H101" t="s">
        <v>525</v>
      </c>
      <c r="I101" t="s">
        <v>572</v>
      </c>
      <c r="J101" s="2">
        <v>45794</v>
      </c>
      <c r="K101" s="2">
        <v>45795</v>
      </c>
      <c r="L101">
        <v>101</v>
      </c>
      <c r="M101" t="s">
        <v>610</v>
      </c>
      <c r="N101" t="s">
        <v>708</v>
      </c>
    </row>
    <row r="102" spans="1:14" ht="16.5" x14ac:dyDescent="0.25">
      <c r="B102" s="4">
        <v>45692</v>
      </c>
      <c r="C102" t="s">
        <v>32</v>
      </c>
      <c r="D102" t="s">
        <v>120</v>
      </c>
      <c r="E102" t="s">
        <v>208</v>
      </c>
      <c r="F102" t="s">
        <v>360</v>
      </c>
      <c r="H102" t="s">
        <v>525</v>
      </c>
      <c r="I102" t="s">
        <v>572</v>
      </c>
      <c r="J102" s="2">
        <v>45794</v>
      </c>
      <c r="K102" s="2">
        <v>45795</v>
      </c>
      <c r="L102">
        <v>102</v>
      </c>
      <c r="M102" t="s">
        <v>610</v>
      </c>
      <c r="N102" t="s">
        <v>708</v>
      </c>
    </row>
    <row r="103" spans="1:14" ht="16.5" x14ac:dyDescent="0.25">
      <c r="B103" s="4">
        <v>45709</v>
      </c>
      <c r="C103" t="s">
        <v>19</v>
      </c>
      <c r="D103" t="s">
        <v>124</v>
      </c>
      <c r="E103" t="s">
        <v>239</v>
      </c>
      <c r="F103" t="s">
        <v>361</v>
      </c>
      <c r="H103" t="s">
        <v>525</v>
      </c>
      <c r="I103" t="s">
        <v>572</v>
      </c>
      <c r="J103" s="2">
        <v>45794</v>
      </c>
      <c r="K103" s="2">
        <v>45795</v>
      </c>
      <c r="L103">
        <v>103</v>
      </c>
      <c r="M103" t="s">
        <v>613</v>
      </c>
      <c r="N103" t="s">
        <v>712</v>
      </c>
    </row>
    <row r="104" spans="1:14" ht="16.5" x14ac:dyDescent="0.25">
      <c r="B104" s="4">
        <v>45709</v>
      </c>
      <c r="C104" t="s">
        <v>19</v>
      </c>
      <c r="D104" t="s">
        <v>124</v>
      </c>
      <c r="E104" t="s">
        <v>208</v>
      </c>
      <c r="F104" t="s">
        <v>361</v>
      </c>
      <c r="H104" t="s">
        <v>525</v>
      </c>
      <c r="I104" t="s">
        <v>572</v>
      </c>
      <c r="J104" s="2">
        <v>45794</v>
      </c>
      <c r="K104" s="2">
        <v>45795</v>
      </c>
      <c r="L104">
        <v>104</v>
      </c>
      <c r="M104" t="s">
        <v>613</v>
      </c>
      <c r="N104" t="s">
        <v>712</v>
      </c>
    </row>
    <row r="105" spans="1:14" ht="16.5" x14ac:dyDescent="0.25">
      <c r="B105" s="4">
        <v>45785</v>
      </c>
      <c r="C105" t="s">
        <v>18</v>
      </c>
      <c r="D105" t="s">
        <v>125</v>
      </c>
      <c r="E105" t="s">
        <v>240</v>
      </c>
      <c r="F105" t="s">
        <v>362</v>
      </c>
      <c r="H105" t="s">
        <v>525</v>
      </c>
      <c r="I105" t="s">
        <v>572</v>
      </c>
      <c r="J105" s="2">
        <v>45794</v>
      </c>
      <c r="K105" s="2">
        <v>45795</v>
      </c>
      <c r="L105">
        <v>105</v>
      </c>
      <c r="M105" t="s">
        <v>613</v>
      </c>
      <c r="N105" t="s">
        <v>713</v>
      </c>
    </row>
    <row r="106" spans="1:14" ht="16.5" x14ac:dyDescent="0.25">
      <c r="B106" s="4">
        <v>45785</v>
      </c>
      <c r="C106" t="s">
        <v>18</v>
      </c>
      <c r="D106" t="s">
        <v>125</v>
      </c>
      <c r="E106" t="s">
        <v>208</v>
      </c>
      <c r="F106" t="s">
        <v>362</v>
      </c>
      <c r="H106" t="s">
        <v>525</v>
      </c>
      <c r="I106" t="s">
        <v>572</v>
      </c>
      <c r="J106" s="2">
        <v>45794</v>
      </c>
      <c r="K106" s="2">
        <v>45795</v>
      </c>
      <c r="L106">
        <v>106</v>
      </c>
      <c r="M106" t="s">
        <v>613</v>
      </c>
      <c r="N106" t="s">
        <v>713</v>
      </c>
    </row>
    <row r="107" spans="1:14" ht="16.5" x14ac:dyDescent="0.25">
      <c r="B107" s="4">
        <v>45793</v>
      </c>
      <c r="C107" t="s">
        <v>35</v>
      </c>
      <c r="D107" t="s">
        <v>123</v>
      </c>
      <c r="E107" t="s">
        <v>238</v>
      </c>
      <c r="F107" t="s">
        <v>363</v>
      </c>
      <c r="H107" t="s">
        <v>525</v>
      </c>
      <c r="I107" t="s">
        <v>572</v>
      </c>
      <c r="J107" s="2">
        <v>45794</v>
      </c>
      <c r="K107" s="2">
        <v>45795</v>
      </c>
      <c r="L107">
        <v>107</v>
      </c>
      <c r="M107" t="s">
        <v>613</v>
      </c>
      <c r="N107" t="s">
        <v>711</v>
      </c>
    </row>
    <row r="108" spans="1:14" ht="16.5" x14ac:dyDescent="0.25">
      <c r="B108" s="4">
        <v>45793</v>
      </c>
      <c r="C108" t="s">
        <v>35</v>
      </c>
      <c r="D108" t="s">
        <v>123</v>
      </c>
      <c r="E108" t="s">
        <v>203</v>
      </c>
      <c r="F108" t="s">
        <v>363</v>
      </c>
      <c r="H108" t="s">
        <v>525</v>
      </c>
      <c r="I108" t="s">
        <v>572</v>
      </c>
      <c r="J108" s="2">
        <v>45794</v>
      </c>
      <c r="K108" s="2">
        <v>45795</v>
      </c>
      <c r="L108">
        <v>108</v>
      </c>
      <c r="M108" t="s">
        <v>613</v>
      </c>
      <c r="N108" t="s">
        <v>711</v>
      </c>
    </row>
    <row r="109" spans="1:14" ht="16.5" x14ac:dyDescent="0.25">
      <c r="B109" s="4">
        <v>45712</v>
      </c>
      <c r="C109" t="s">
        <v>36</v>
      </c>
      <c r="D109" t="s">
        <v>126</v>
      </c>
      <c r="E109" t="s">
        <v>241</v>
      </c>
      <c r="F109" t="s">
        <v>364</v>
      </c>
      <c r="H109" t="s">
        <v>525</v>
      </c>
      <c r="I109" t="s">
        <v>567</v>
      </c>
      <c r="J109" s="2">
        <v>45796</v>
      </c>
      <c r="K109" s="2">
        <v>45797</v>
      </c>
      <c r="L109">
        <v>109</v>
      </c>
      <c r="M109" t="s">
        <v>614</v>
      </c>
      <c r="N109" t="s">
        <v>714</v>
      </c>
    </row>
    <row r="110" spans="1:14" ht="16.5" x14ac:dyDescent="0.25">
      <c r="B110" s="4">
        <v>45712</v>
      </c>
      <c r="C110" t="s">
        <v>36</v>
      </c>
      <c r="D110" t="s">
        <v>126</v>
      </c>
      <c r="E110" t="s">
        <v>208</v>
      </c>
      <c r="F110" t="s">
        <v>364</v>
      </c>
      <c r="H110" t="s">
        <v>525</v>
      </c>
      <c r="I110" t="s">
        <v>567</v>
      </c>
      <c r="J110" s="2">
        <v>45796</v>
      </c>
      <c r="K110" s="2">
        <v>45797</v>
      </c>
      <c r="L110">
        <v>110</v>
      </c>
      <c r="M110" t="s">
        <v>614</v>
      </c>
      <c r="N110" t="s">
        <v>714</v>
      </c>
    </row>
    <row r="111" spans="1:14" ht="16.5" x14ac:dyDescent="0.25">
      <c r="B111" s="4">
        <v>45740</v>
      </c>
      <c r="C111" t="s">
        <v>37</v>
      </c>
      <c r="D111" t="s">
        <v>127</v>
      </c>
      <c r="E111" t="s">
        <v>242</v>
      </c>
      <c r="F111" t="s">
        <v>365</v>
      </c>
      <c r="H111" t="s">
        <v>526</v>
      </c>
      <c r="I111" t="s">
        <v>570</v>
      </c>
      <c r="J111" s="2">
        <v>45798</v>
      </c>
      <c r="K111" s="2">
        <v>45799</v>
      </c>
      <c r="L111">
        <v>111</v>
      </c>
      <c r="M111" t="s">
        <v>615</v>
      </c>
      <c r="N111" t="s">
        <v>715</v>
      </c>
    </row>
    <row r="112" spans="1:14" ht="16.5" x14ac:dyDescent="0.25">
      <c r="B112" s="4">
        <v>45740</v>
      </c>
      <c r="C112" t="s">
        <v>37</v>
      </c>
      <c r="D112" t="s">
        <v>127</v>
      </c>
      <c r="E112" t="s">
        <v>208</v>
      </c>
      <c r="F112" t="s">
        <v>365</v>
      </c>
      <c r="H112" t="s">
        <v>526</v>
      </c>
      <c r="I112" t="s">
        <v>570</v>
      </c>
      <c r="J112" s="2">
        <v>45798</v>
      </c>
      <c r="K112" s="2">
        <v>45799</v>
      </c>
      <c r="L112">
        <v>112</v>
      </c>
      <c r="M112" t="s">
        <v>615</v>
      </c>
      <c r="N112" t="s">
        <v>715</v>
      </c>
    </row>
    <row r="113" spans="1:14" ht="16.5" x14ac:dyDescent="0.25">
      <c r="A113" t="s">
        <v>0</v>
      </c>
      <c r="B113" s="4">
        <v>45791</v>
      </c>
      <c r="C113" t="s">
        <v>38</v>
      </c>
      <c r="D113" t="s">
        <v>128</v>
      </c>
      <c r="E113" t="s">
        <v>243</v>
      </c>
      <c r="F113" t="s">
        <v>366</v>
      </c>
      <c r="H113" t="s">
        <v>577</v>
      </c>
      <c r="I113" t="s">
        <v>565</v>
      </c>
      <c r="J113" s="2">
        <v>45799</v>
      </c>
      <c r="K113" s="2">
        <v>45799</v>
      </c>
      <c r="L113">
        <v>113</v>
      </c>
      <c r="M113" t="s">
        <v>615</v>
      </c>
      <c r="N113" t="s">
        <v>716</v>
      </c>
    </row>
    <row r="114" spans="1:14" ht="16.5" x14ac:dyDescent="0.25">
      <c r="A114" t="s">
        <v>0</v>
      </c>
      <c r="B114" s="4">
        <v>45791</v>
      </c>
      <c r="C114" t="s">
        <v>38</v>
      </c>
      <c r="D114" t="s">
        <v>128</v>
      </c>
      <c r="E114" t="s">
        <v>208</v>
      </c>
      <c r="F114" t="s">
        <v>366</v>
      </c>
      <c r="H114" t="s">
        <v>577</v>
      </c>
      <c r="I114" t="s">
        <v>565</v>
      </c>
      <c r="J114" s="2">
        <v>45799</v>
      </c>
      <c r="K114" s="2">
        <v>45799</v>
      </c>
      <c r="L114">
        <v>114</v>
      </c>
      <c r="M114" t="s">
        <v>615</v>
      </c>
      <c r="N114" t="s">
        <v>716</v>
      </c>
    </row>
    <row r="115" spans="1:14" ht="16.5" x14ac:dyDescent="0.25">
      <c r="A115" t="s">
        <v>0</v>
      </c>
      <c r="B115" s="4">
        <v>45798</v>
      </c>
      <c r="C115" t="s">
        <v>39</v>
      </c>
      <c r="D115" t="s">
        <v>127</v>
      </c>
      <c r="E115" t="s">
        <v>244</v>
      </c>
      <c r="F115" t="s">
        <v>367</v>
      </c>
      <c r="H115" t="s">
        <v>577</v>
      </c>
      <c r="I115" t="s">
        <v>565</v>
      </c>
      <c r="J115" s="2">
        <v>45800</v>
      </c>
      <c r="K115" s="2">
        <v>45800</v>
      </c>
      <c r="L115">
        <v>115</v>
      </c>
      <c r="M115" t="s">
        <v>615</v>
      </c>
      <c r="N115" t="s">
        <v>716</v>
      </c>
    </row>
    <row r="116" spans="1:14" ht="16.5" x14ac:dyDescent="0.25">
      <c r="A116" t="s">
        <v>0</v>
      </c>
      <c r="B116" s="4">
        <v>45798</v>
      </c>
      <c r="C116" t="s">
        <v>39</v>
      </c>
      <c r="D116" t="s">
        <v>127</v>
      </c>
      <c r="E116" t="s">
        <v>203</v>
      </c>
      <c r="F116" t="s">
        <v>367</v>
      </c>
      <c r="H116" t="s">
        <v>577</v>
      </c>
      <c r="I116" t="s">
        <v>565</v>
      </c>
      <c r="J116" s="2">
        <v>45800</v>
      </c>
      <c r="K116" s="2">
        <v>45800</v>
      </c>
      <c r="L116">
        <v>116</v>
      </c>
      <c r="M116" t="s">
        <v>615</v>
      </c>
      <c r="N116" t="s">
        <v>716</v>
      </c>
    </row>
    <row r="117" spans="1:14" ht="16.5" x14ac:dyDescent="0.25">
      <c r="B117" s="4">
        <v>45770</v>
      </c>
      <c r="C117" t="s">
        <v>16</v>
      </c>
      <c r="D117" t="s">
        <v>129</v>
      </c>
      <c r="E117" t="s">
        <v>245</v>
      </c>
      <c r="F117" t="s">
        <v>368</v>
      </c>
      <c r="H117" t="s">
        <v>526</v>
      </c>
      <c r="I117" t="s">
        <v>567</v>
      </c>
      <c r="J117" s="2">
        <v>45803</v>
      </c>
      <c r="K117" s="2">
        <v>45804</v>
      </c>
      <c r="L117">
        <v>117</v>
      </c>
      <c r="M117" t="s">
        <v>615</v>
      </c>
      <c r="N117" t="s">
        <v>717</v>
      </c>
    </row>
    <row r="118" spans="1:14" ht="16.5" x14ac:dyDescent="0.25">
      <c r="B118" s="4">
        <v>45770</v>
      </c>
      <c r="C118" t="s">
        <v>16</v>
      </c>
      <c r="D118" t="s">
        <v>129</v>
      </c>
      <c r="E118" t="s">
        <v>208</v>
      </c>
      <c r="F118" t="s">
        <v>368</v>
      </c>
      <c r="H118" t="s">
        <v>526</v>
      </c>
      <c r="I118" t="s">
        <v>567</v>
      </c>
      <c r="J118" s="2">
        <v>45803</v>
      </c>
      <c r="K118" s="2">
        <v>45804</v>
      </c>
      <c r="L118">
        <v>118</v>
      </c>
      <c r="M118" t="s">
        <v>615</v>
      </c>
      <c r="N118" t="s">
        <v>717</v>
      </c>
    </row>
    <row r="119" spans="1:14" ht="16.5" x14ac:dyDescent="0.25">
      <c r="B119" s="4">
        <v>45790</v>
      </c>
      <c r="C119" t="s">
        <v>40</v>
      </c>
      <c r="D119" t="s">
        <v>130</v>
      </c>
      <c r="E119" t="s">
        <v>246</v>
      </c>
      <c r="F119" t="s">
        <v>369</v>
      </c>
      <c r="H119" t="s">
        <v>527</v>
      </c>
      <c r="I119" t="s">
        <v>569</v>
      </c>
      <c r="J119" s="2">
        <v>45805</v>
      </c>
      <c r="K119" s="2">
        <v>45806</v>
      </c>
      <c r="L119">
        <v>119</v>
      </c>
      <c r="M119" t="s">
        <v>616</v>
      </c>
      <c r="N119" t="s">
        <v>718</v>
      </c>
    </row>
    <row r="120" spans="1:14" ht="16.5" x14ac:dyDescent="0.25">
      <c r="B120" s="4">
        <v>45790</v>
      </c>
      <c r="C120" t="s">
        <v>40</v>
      </c>
      <c r="D120" t="s">
        <v>130</v>
      </c>
      <c r="E120" t="s">
        <v>208</v>
      </c>
      <c r="F120" t="s">
        <v>369</v>
      </c>
      <c r="H120" t="s">
        <v>527</v>
      </c>
      <c r="I120" t="s">
        <v>569</v>
      </c>
      <c r="J120" s="2">
        <v>45805</v>
      </c>
      <c r="K120" s="2">
        <v>45806</v>
      </c>
      <c r="L120">
        <v>120</v>
      </c>
      <c r="M120" t="s">
        <v>616</v>
      </c>
      <c r="N120" t="s">
        <v>718</v>
      </c>
    </row>
    <row r="121" spans="1:14" ht="16.5" x14ac:dyDescent="0.25">
      <c r="A121" t="s">
        <v>0</v>
      </c>
      <c r="B121" s="4">
        <v>45796</v>
      </c>
      <c r="C121" t="s">
        <v>41</v>
      </c>
      <c r="D121" t="s">
        <v>131</v>
      </c>
      <c r="E121" t="s">
        <v>247</v>
      </c>
      <c r="F121" t="s">
        <v>370</v>
      </c>
      <c r="H121" t="s">
        <v>577</v>
      </c>
      <c r="I121" t="s">
        <v>565</v>
      </c>
      <c r="J121" s="2">
        <v>45806</v>
      </c>
      <c r="K121" s="2">
        <v>45806</v>
      </c>
      <c r="L121">
        <v>121</v>
      </c>
      <c r="M121" t="s">
        <v>617</v>
      </c>
      <c r="N121" t="s">
        <v>719</v>
      </c>
    </row>
    <row r="122" spans="1:14" ht="16.5" x14ac:dyDescent="0.25">
      <c r="A122" t="s">
        <v>0</v>
      </c>
      <c r="B122" s="4">
        <v>45796</v>
      </c>
      <c r="C122" t="s">
        <v>41</v>
      </c>
      <c r="D122" t="s">
        <v>131</v>
      </c>
      <c r="E122" t="s">
        <v>203</v>
      </c>
      <c r="F122" t="s">
        <v>370</v>
      </c>
      <c r="H122" t="s">
        <v>577</v>
      </c>
      <c r="I122" t="s">
        <v>565</v>
      </c>
      <c r="J122" s="2">
        <v>45806</v>
      </c>
      <c r="K122" s="2">
        <v>45806</v>
      </c>
      <c r="L122">
        <v>122</v>
      </c>
      <c r="M122" t="s">
        <v>617</v>
      </c>
      <c r="N122" t="s">
        <v>719</v>
      </c>
    </row>
    <row r="123" spans="1:14" ht="16.5" x14ac:dyDescent="0.25">
      <c r="B123" s="4">
        <v>45700</v>
      </c>
      <c r="C123" t="s">
        <v>42</v>
      </c>
      <c r="D123" t="s">
        <v>132</v>
      </c>
      <c r="E123" t="s">
        <v>248</v>
      </c>
      <c r="F123" t="s">
        <v>371</v>
      </c>
      <c r="H123" t="s">
        <v>527</v>
      </c>
      <c r="I123" t="s">
        <v>570</v>
      </c>
      <c r="J123" s="2">
        <v>45807</v>
      </c>
      <c r="K123" s="2">
        <v>45808</v>
      </c>
      <c r="L123">
        <v>123</v>
      </c>
      <c r="M123" t="s">
        <v>618</v>
      </c>
      <c r="N123" t="s">
        <v>720</v>
      </c>
    </row>
    <row r="124" spans="1:14" ht="16.5" x14ac:dyDescent="0.25">
      <c r="B124" s="4">
        <v>45700</v>
      </c>
      <c r="C124" t="s">
        <v>42</v>
      </c>
      <c r="D124" t="s">
        <v>132</v>
      </c>
      <c r="E124" t="s">
        <v>208</v>
      </c>
      <c r="F124" t="s">
        <v>371</v>
      </c>
      <c r="H124" t="s">
        <v>527</v>
      </c>
      <c r="I124" t="s">
        <v>570</v>
      </c>
      <c r="J124" s="2">
        <v>45807</v>
      </c>
      <c r="K124" s="2">
        <v>45808</v>
      </c>
      <c r="L124">
        <v>124</v>
      </c>
      <c r="M124" t="s">
        <v>618</v>
      </c>
      <c r="N124" t="s">
        <v>720</v>
      </c>
    </row>
    <row r="125" spans="1:14" ht="16.5" x14ac:dyDescent="0.25">
      <c r="B125" s="4">
        <v>45793</v>
      </c>
      <c r="C125" t="s">
        <v>43</v>
      </c>
      <c r="D125" t="s">
        <v>133</v>
      </c>
      <c r="E125" t="s">
        <v>249</v>
      </c>
      <c r="F125" t="s">
        <v>372</v>
      </c>
      <c r="H125" t="s">
        <v>527</v>
      </c>
      <c r="I125" t="s">
        <v>570</v>
      </c>
      <c r="J125" s="2">
        <v>45807</v>
      </c>
      <c r="K125" s="2">
        <v>45808</v>
      </c>
      <c r="L125">
        <v>125</v>
      </c>
      <c r="M125" t="s">
        <v>619</v>
      </c>
      <c r="N125" t="s">
        <v>721</v>
      </c>
    </row>
    <row r="126" spans="1:14" ht="16.5" x14ac:dyDescent="0.25">
      <c r="B126" s="4">
        <v>45793</v>
      </c>
      <c r="C126" t="s">
        <v>43</v>
      </c>
      <c r="D126" t="s">
        <v>133</v>
      </c>
      <c r="E126" t="s">
        <v>208</v>
      </c>
      <c r="F126" t="s">
        <v>372</v>
      </c>
      <c r="H126" t="s">
        <v>527</v>
      </c>
      <c r="I126" t="s">
        <v>570</v>
      </c>
      <c r="J126" s="2">
        <v>45807</v>
      </c>
      <c r="K126" s="2">
        <v>45808</v>
      </c>
      <c r="L126">
        <v>126</v>
      </c>
      <c r="M126" t="s">
        <v>619</v>
      </c>
      <c r="N126" t="s">
        <v>721</v>
      </c>
    </row>
    <row r="127" spans="1:14" ht="16.5" x14ac:dyDescent="0.25">
      <c r="B127" s="4">
        <v>45804</v>
      </c>
      <c r="C127" t="s">
        <v>16</v>
      </c>
      <c r="D127" t="s">
        <v>134</v>
      </c>
      <c r="E127" t="s">
        <v>250</v>
      </c>
      <c r="F127" t="s">
        <v>373</v>
      </c>
      <c r="H127" t="s">
        <v>528</v>
      </c>
      <c r="I127" t="s">
        <v>572</v>
      </c>
      <c r="J127" s="2">
        <v>45810</v>
      </c>
      <c r="K127" s="2">
        <v>45811</v>
      </c>
      <c r="L127">
        <v>127</v>
      </c>
      <c r="M127" t="s">
        <v>620</v>
      </c>
      <c r="N127" t="s">
        <v>722</v>
      </c>
    </row>
    <row r="128" spans="1:14" ht="16.5" x14ac:dyDescent="0.25">
      <c r="B128" s="4">
        <v>45804</v>
      </c>
      <c r="C128" t="s">
        <v>16</v>
      </c>
      <c r="D128" t="s">
        <v>134</v>
      </c>
      <c r="E128" t="s">
        <v>208</v>
      </c>
      <c r="F128" t="s">
        <v>373</v>
      </c>
      <c r="H128" t="s">
        <v>528</v>
      </c>
      <c r="I128" t="s">
        <v>572</v>
      </c>
      <c r="J128" s="2">
        <v>45810</v>
      </c>
      <c r="K128" s="2">
        <v>45811</v>
      </c>
      <c r="L128">
        <v>128</v>
      </c>
      <c r="M128" t="s">
        <v>620</v>
      </c>
      <c r="N128" t="s">
        <v>722</v>
      </c>
    </row>
    <row r="129" spans="1:14" ht="16.5" x14ac:dyDescent="0.25">
      <c r="A129" t="s">
        <v>0</v>
      </c>
      <c r="B129" s="4">
        <v>45797</v>
      </c>
      <c r="C129" t="s">
        <v>44</v>
      </c>
      <c r="D129" t="s">
        <v>135</v>
      </c>
      <c r="E129" t="s">
        <v>251</v>
      </c>
      <c r="F129" t="s">
        <v>374</v>
      </c>
      <c r="H129" t="s">
        <v>529</v>
      </c>
      <c r="I129" t="s">
        <v>565</v>
      </c>
      <c r="J129" s="2">
        <v>45811</v>
      </c>
      <c r="K129" s="2">
        <v>45812</v>
      </c>
      <c r="L129">
        <v>129</v>
      </c>
      <c r="M129" t="s">
        <v>621</v>
      </c>
      <c r="N129" t="s">
        <v>723</v>
      </c>
    </row>
    <row r="130" spans="1:14" ht="16.5" x14ac:dyDescent="0.25">
      <c r="A130" t="s">
        <v>0</v>
      </c>
      <c r="B130" s="4">
        <v>45797</v>
      </c>
      <c r="C130" t="s">
        <v>44</v>
      </c>
      <c r="D130" t="s">
        <v>135</v>
      </c>
      <c r="E130" t="s">
        <v>203</v>
      </c>
      <c r="F130" t="s">
        <v>374</v>
      </c>
      <c r="H130" t="s">
        <v>530</v>
      </c>
      <c r="I130" t="s">
        <v>565</v>
      </c>
      <c r="J130" s="2">
        <v>45811</v>
      </c>
      <c r="K130" s="2">
        <v>45812</v>
      </c>
      <c r="L130">
        <v>130</v>
      </c>
      <c r="M130" t="s">
        <v>621</v>
      </c>
      <c r="N130" t="s">
        <v>723</v>
      </c>
    </row>
    <row r="131" spans="1:14" ht="16.5" x14ac:dyDescent="0.25">
      <c r="B131" s="4">
        <v>45806</v>
      </c>
      <c r="C131" t="s">
        <v>3</v>
      </c>
      <c r="D131" t="s">
        <v>136</v>
      </c>
      <c r="E131" t="s">
        <v>252</v>
      </c>
      <c r="F131" t="s">
        <v>375</v>
      </c>
      <c r="H131" t="s">
        <v>528</v>
      </c>
      <c r="I131" t="s">
        <v>567</v>
      </c>
      <c r="J131" s="2">
        <v>45812</v>
      </c>
      <c r="K131" s="2">
        <v>45814</v>
      </c>
      <c r="L131">
        <v>131</v>
      </c>
      <c r="M131" t="s">
        <v>622</v>
      </c>
      <c r="N131" t="s">
        <v>724</v>
      </c>
    </row>
    <row r="132" spans="1:14" ht="16.5" x14ac:dyDescent="0.25">
      <c r="B132" s="4">
        <v>45806</v>
      </c>
      <c r="C132" t="s">
        <v>3</v>
      </c>
      <c r="D132" t="s">
        <v>136</v>
      </c>
      <c r="E132" t="s">
        <v>208</v>
      </c>
      <c r="F132" t="s">
        <v>375</v>
      </c>
      <c r="H132" t="s">
        <v>528</v>
      </c>
      <c r="I132" t="s">
        <v>567</v>
      </c>
      <c r="J132" s="2">
        <v>45812</v>
      </c>
      <c r="K132" s="2">
        <v>45814</v>
      </c>
      <c r="L132">
        <v>132</v>
      </c>
      <c r="M132" t="s">
        <v>622</v>
      </c>
      <c r="N132" t="s">
        <v>724</v>
      </c>
    </row>
    <row r="133" spans="1:14" ht="16.5" x14ac:dyDescent="0.25">
      <c r="A133" t="s">
        <v>0</v>
      </c>
      <c r="B133" s="4">
        <v>45797</v>
      </c>
      <c r="C133" t="s">
        <v>45</v>
      </c>
      <c r="D133" t="s">
        <v>135</v>
      </c>
      <c r="E133" t="s">
        <v>251</v>
      </c>
      <c r="F133" t="s">
        <v>376</v>
      </c>
      <c r="H133" t="s">
        <v>531</v>
      </c>
      <c r="I133" t="s">
        <v>565</v>
      </c>
      <c r="J133" s="2">
        <v>45813</v>
      </c>
      <c r="K133" s="2">
        <v>45813</v>
      </c>
      <c r="L133">
        <v>133</v>
      </c>
      <c r="M133" t="s">
        <v>621</v>
      </c>
      <c r="N133" t="s">
        <v>723</v>
      </c>
    </row>
    <row r="134" spans="1:14" ht="16.5" x14ac:dyDescent="0.25">
      <c r="A134" t="s">
        <v>0</v>
      </c>
      <c r="B134" s="4">
        <v>45797</v>
      </c>
      <c r="C134" t="s">
        <v>45</v>
      </c>
      <c r="D134" t="s">
        <v>135</v>
      </c>
      <c r="E134" t="s">
        <v>203</v>
      </c>
      <c r="F134" t="s">
        <v>376</v>
      </c>
      <c r="H134" t="s">
        <v>530</v>
      </c>
      <c r="I134" t="s">
        <v>565</v>
      </c>
      <c r="J134" s="2">
        <v>45813</v>
      </c>
      <c r="K134" s="2">
        <v>45813</v>
      </c>
      <c r="L134">
        <v>134</v>
      </c>
      <c r="M134" t="s">
        <v>621</v>
      </c>
      <c r="N134" t="s">
        <v>723</v>
      </c>
    </row>
    <row r="135" spans="1:14" ht="16.5" x14ac:dyDescent="0.25">
      <c r="B135" s="4">
        <v>45728</v>
      </c>
      <c r="C135" t="s">
        <v>22</v>
      </c>
      <c r="D135" t="s">
        <v>105</v>
      </c>
      <c r="E135" t="s">
        <v>221</v>
      </c>
      <c r="F135" t="s">
        <v>377</v>
      </c>
      <c r="H135" t="s">
        <v>527</v>
      </c>
      <c r="I135" t="s">
        <v>564</v>
      </c>
      <c r="J135" s="2">
        <v>45815</v>
      </c>
      <c r="K135" s="2">
        <v>45816</v>
      </c>
      <c r="L135">
        <v>135</v>
      </c>
      <c r="M135" t="s">
        <v>596</v>
      </c>
      <c r="N135" t="s">
        <v>694</v>
      </c>
    </row>
    <row r="136" spans="1:14" ht="16.5" x14ac:dyDescent="0.25">
      <c r="B136" s="4">
        <v>45728</v>
      </c>
      <c r="C136" t="s">
        <v>22</v>
      </c>
      <c r="D136" t="s">
        <v>105</v>
      </c>
      <c r="E136" t="s">
        <v>203</v>
      </c>
      <c r="F136" t="s">
        <v>377</v>
      </c>
      <c r="H136" t="s">
        <v>527</v>
      </c>
      <c r="I136" t="s">
        <v>564</v>
      </c>
      <c r="J136" s="2">
        <v>45815</v>
      </c>
      <c r="K136" s="2">
        <v>45816</v>
      </c>
      <c r="L136">
        <v>136</v>
      </c>
      <c r="M136" t="s">
        <v>596</v>
      </c>
      <c r="N136" t="s">
        <v>694</v>
      </c>
    </row>
    <row r="137" spans="1:14" ht="16.5" x14ac:dyDescent="0.25">
      <c r="B137" s="4">
        <v>45790</v>
      </c>
      <c r="C137" t="s">
        <v>46</v>
      </c>
      <c r="D137" t="s">
        <v>137</v>
      </c>
      <c r="E137" t="s">
        <v>253</v>
      </c>
      <c r="F137" t="s">
        <v>378</v>
      </c>
      <c r="H137" t="s">
        <v>532</v>
      </c>
      <c r="I137" t="s">
        <v>570</v>
      </c>
      <c r="J137" s="2">
        <v>45818</v>
      </c>
      <c r="K137" s="2">
        <v>45819</v>
      </c>
      <c r="L137">
        <v>137</v>
      </c>
      <c r="M137" t="s">
        <v>623</v>
      </c>
      <c r="N137" t="s">
        <v>725</v>
      </c>
    </row>
    <row r="138" spans="1:14" ht="16.5" x14ac:dyDescent="0.25">
      <c r="B138" s="4">
        <v>45790</v>
      </c>
      <c r="C138" t="s">
        <v>46</v>
      </c>
      <c r="D138" t="s">
        <v>137</v>
      </c>
      <c r="E138" t="s">
        <v>208</v>
      </c>
      <c r="F138" t="s">
        <v>378</v>
      </c>
      <c r="H138" t="s">
        <v>532</v>
      </c>
      <c r="I138" t="s">
        <v>570</v>
      </c>
      <c r="J138" s="2">
        <v>45818</v>
      </c>
      <c r="K138" s="2">
        <v>45819</v>
      </c>
      <c r="L138">
        <v>138</v>
      </c>
      <c r="M138" t="s">
        <v>623</v>
      </c>
      <c r="N138" t="s">
        <v>725</v>
      </c>
    </row>
    <row r="139" spans="1:14" ht="16.5" x14ac:dyDescent="0.25">
      <c r="B139" s="4">
        <v>45694</v>
      </c>
      <c r="C139" t="s">
        <v>47</v>
      </c>
      <c r="D139" t="s">
        <v>138</v>
      </c>
      <c r="E139" t="s">
        <v>254</v>
      </c>
      <c r="F139" t="s">
        <v>379</v>
      </c>
      <c r="H139" t="s">
        <v>532</v>
      </c>
      <c r="I139" t="s">
        <v>569</v>
      </c>
      <c r="J139" s="2">
        <v>45820</v>
      </c>
      <c r="K139" s="2">
        <v>45821</v>
      </c>
      <c r="L139">
        <v>139</v>
      </c>
      <c r="M139" t="s">
        <v>624</v>
      </c>
      <c r="N139" t="s">
        <v>726</v>
      </c>
    </row>
    <row r="140" spans="1:14" ht="16.5" x14ac:dyDescent="0.25">
      <c r="B140" s="4">
        <v>45694</v>
      </c>
      <c r="C140" t="s">
        <v>47</v>
      </c>
      <c r="D140" t="s">
        <v>138</v>
      </c>
      <c r="E140" t="s">
        <v>203</v>
      </c>
      <c r="F140" t="s">
        <v>379</v>
      </c>
      <c r="H140" t="s">
        <v>532</v>
      </c>
      <c r="I140" t="s">
        <v>569</v>
      </c>
      <c r="J140" s="2">
        <v>45820</v>
      </c>
      <c r="K140" s="2">
        <v>45821</v>
      </c>
      <c r="L140">
        <v>140</v>
      </c>
      <c r="M140" t="s">
        <v>624</v>
      </c>
      <c r="N140" t="s">
        <v>726</v>
      </c>
    </row>
    <row r="141" spans="1:14" ht="16.5" x14ac:dyDescent="0.25">
      <c r="A141" t="s">
        <v>0</v>
      </c>
      <c r="B141" s="4">
        <v>45777</v>
      </c>
      <c r="C141" t="s">
        <v>48</v>
      </c>
      <c r="D141" t="s">
        <v>139</v>
      </c>
      <c r="E141" t="s">
        <v>255</v>
      </c>
      <c r="F141" t="s">
        <v>380</v>
      </c>
      <c r="H141" t="s">
        <v>533</v>
      </c>
      <c r="I141" t="s">
        <v>565</v>
      </c>
      <c r="J141" s="2">
        <v>45821</v>
      </c>
      <c r="K141" s="2">
        <v>45821</v>
      </c>
      <c r="L141">
        <v>141</v>
      </c>
      <c r="M141" t="s">
        <v>625</v>
      </c>
      <c r="N141" t="s">
        <v>726</v>
      </c>
    </row>
    <row r="142" spans="1:14" ht="16.5" x14ac:dyDescent="0.25">
      <c r="A142" t="s">
        <v>0</v>
      </c>
      <c r="B142" s="4">
        <v>45777</v>
      </c>
      <c r="C142" t="s">
        <v>48</v>
      </c>
      <c r="D142" t="s">
        <v>139</v>
      </c>
      <c r="E142" t="s">
        <v>255</v>
      </c>
      <c r="F142" t="s">
        <v>380</v>
      </c>
      <c r="H142" t="s">
        <v>533</v>
      </c>
      <c r="I142" t="s">
        <v>565</v>
      </c>
      <c r="J142" s="2">
        <v>45821</v>
      </c>
      <c r="K142" s="2">
        <v>45821</v>
      </c>
      <c r="L142">
        <v>142</v>
      </c>
      <c r="M142" t="s">
        <v>625</v>
      </c>
      <c r="N142" t="s">
        <v>726</v>
      </c>
    </row>
    <row r="143" spans="1:14" ht="16.5" x14ac:dyDescent="0.25">
      <c r="B143" s="4">
        <v>45728</v>
      </c>
      <c r="C143" t="s">
        <v>22</v>
      </c>
      <c r="D143" t="s">
        <v>105</v>
      </c>
      <c r="E143" t="s">
        <v>221</v>
      </c>
      <c r="F143" t="s">
        <v>381</v>
      </c>
      <c r="H143" t="s">
        <v>534</v>
      </c>
      <c r="I143" t="s">
        <v>570</v>
      </c>
      <c r="J143" s="2">
        <v>45822</v>
      </c>
      <c r="K143" s="2">
        <v>45823</v>
      </c>
      <c r="L143">
        <v>143</v>
      </c>
      <c r="M143" t="s">
        <v>596</v>
      </c>
      <c r="N143" t="s">
        <v>694</v>
      </c>
    </row>
    <row r="144" spans="1:14" ht="16.5" x14ac:dyDescent="0.25">
      <c r="B144" s="4">
        <v>45728</v>
      </c>
      <c r="C144" t="s">
        <v>22</v>
      </c>
      <c r="D144" t="s">
        <v>105</v>
      </c>
      <c r="E144" t="s">
        <v>203</v>
      </c>
      <c r="F144" t="s">
        <v>381</v>
      </c>
      <c r="H144" t="s">
        <v>534</v>
      </c>
      <c r="I144" t="s">
        <v>570</v>
      </c>
      <c r="J144" s="2">
        <v>45822</v>
      </c>
      <c r="K144" s="2">
        <v>45823</v>
      </c>
      <c r="L144">
        <v>144</v>
      </c>
      <c r="M144" t="s">
        <v>596</v>
      </c>
      <c r="N144" t="s">
        <v>694</v>
      </c>
    </row>
    <row r="145" spans="1:14" ht="16.5" x14ac:dyDescent="0.25">
      <c r="A145" t="s">
        <v>1</v>
      </c>
      <c r="B145" s="4">
        <v>45693</v>
      </c>
      <c r="C145" t="s">
        <v>13</v>
      </c>
      <c r="D145" t="s">
        <v>90</v>
      </c>
      <c r="E145" t="s">
        <v>206</v>
      </c>
      <c r="F145" t="s">
        <v>382</v>
      </c>
      <c r="H145" t="s">
        <v>535</v>
      </c>
      <c r="I145" t="s">
        <v>567</v>
      </c>
      <c r="J145" s="2">
        <v>45824</v>
      </c>
      <c r="K145" s="2">
        <v>45825</v>
      </c>
      <c r="L145">
        <v>145</v>
      </c>
      <c r="M145" t="s">
        <v>583</v>
      </c>
      <c r="N145" t="s">
        <v>681</v>
      </c>
    </row>
    <row r="146" spans="1:14" ht="16.5" x14ac:dyDescent="0.25">
      <c r="A146" t="s">
        <v>2</v>
      </c>
      <c r="B146" s="4">
        <v>45693</v>
      </c>
      <c r="C146" t="s">
        <v>13</v>
      </c>
      <c r="D146" t="s">
        <v>90</v>
      </c>
      <c r="E146" t="s">
        <v>203</v>
      </c>
      <c r="F146" t="s">
        <v>382</v>
      </c>
      <c r="H146" t="s">
        <v>535</v>
      </c>
      <c r="I146" t="s">
        <v>570</v>
      </c>
      <c r="J146" s="2">
        <v>45824</v>
      </c>
      <c r="K146" s="2">
        <v>45825</v>
      </c>
      <c r="L146">
        <v>146</v>
      </c>
      <c r="M146" t="s">
        <v>583</v>
      </c>
      <c r="N146" t="s">
        <v>681</v>
      </c>
    </row>
    <row r="147" spans="1:14" ht="16.5" x14ac:dyDescent="0.25">
      <c r="B147" s="4">
        <v>45693</v>
      </c>
      <c r="C147" t="s">
        <v>13</v>
      </c>
      <c r="D147" t="s">
        <v>90</v>
      </c>
      <c r="E147" t="s">
        <v>206</v>
      </c>
      <c r="F147" t="s">
        <v>383</v>
      </c>
      <c r="H147" t="s">
        <v>535</v>
      </c>
      <c r="I147" t="s">
        <v>566</v>
      </c>
      <c r="J147" s="2">
        <v>45826</v>
      </c>
      <c r="K147" s="2">
        <v>45827</v>
      </c>
      <c r="L147">
        <v>147</v>
      </c>
      <c r="M147" t="s">
        <v>583</v>
      </c>
      <c r="N147" t="s">
        <v>681</v>
      </c>
    </row>
    <row r="148" spans="1:14" ht="16.5" x14ac:dyDescent="0.25">
      <c r="B148" s="4">
        <v>45693</v>
      </c>
      <c r="C148" t="s">
        <v>13</v>
      </c>
      <c r="D148" t="s">
        <v>90</v>
      </c>
      <c r="E148" t="s">
        <v>203</v>
      </c>
      <c r="F148" t="s">
        <v>383</v>
      </c>
      <c r="H148" t="s">
        <v>535</v>
      </c>
      <c r="I148" t="s">
        <v>566</v>
      </c>
      <c r="J148" s="2">
        <v>45826</v>
      </c>
      <c r="K148" s="2">
        <v>45827</v>
      </c>
      <c r="L148">
        <v>148</v>
      </c>
      <c r="M148" t="s">
        <v>583</v>
      </c>
      <c r="N148" t="s">
        <v>681</v>
      </c>
    </row>
    <row r="149" spans="1:14" ht="16.5" x14ac:dyDescent="0.25">
      <c r="B149" s="4">
        <v>45803</v>
      </c>
      <c r="C149" t="s">
        <v>18</v>
      </c>
      <c r="D149" t="s">
        <v>140</v>
      </c>
      <c r="E149" t="s">
        <v>256</v>
      </c>
      <c r="F149" t="s">
        <v>384</v>
      </c>
      <c r="H149" t="s">
        <v>535</v>
      </c>
      <c r="I149" t="s">
        <v>566</v>
      </c>
      <c r="J149" s="2">
        <v>45826</v>
      </c>
      <c r="K149" s="2">
        <v>45827</v>
      </c>
      <c r="L149">
        <v>149</v>
      </c>
      <c r="M149" t="s">
        <v>626</v>
      </c>
      <c r="N149" t="s">
        <v>727</v>
      </c>
    </row>
    <row r="150" spans="1:14" ht="16.5" x14ac:dyDescent="0.25">
      <c r="B150" s="4">
        <v>45803</v>
      </c>
      <c r="C150" t="s">
        <v>18</v>
      </c>
      <c r="D150" t="s">
        <v>140</v>
      </c>
      <c r="E150" t="s">
        <v>203</v>
      </c>
      <c r="F150" t="s">
        <v>384</v>
      </c>
      <c r="H150" t="s">
        <v>535</v>
      </c>
      <c r="I150" t="s">
        <v>566</v>
      </c>
      <c r="J150" s="2">
        <v>45826</v>
      </c>
      <c r="K150" s="2">
        <v>45827</v>
      </c>
      <c r="L150">
        <v>150</v>
      </c>
      <c r="M150" t="s">
        <v>626</v>
      </c>
      <c r="N150" t="s">
        <v>727</v>
      </c>
    </row>
    <row r="151" spans="1:14" ht="16.5" x14ac:dyDescent="0.25">
      <c r="B151" s="4">
        <v>45819</v>
      </c>
      <c r="C151" t="s">
        <v>16</v>
      </c>
      <c r="D151" t="s">
        <v>141</v>
      </c>
      <c r="E151" t="s">
        <v>257</v>
      </c>
      <c r="F151" t="s">
        <v>373</v>
      </c>
      <c r="H151" t="s">
        <v>536</v>
      </c>
      <c r="I151" t="s">
        <v>572</v>
      </c>
      <c r="J151" s="2">
        <v>45828</v>
      </c>
      <c r="K151" s="2">
        <v>45829</v>
      </c>
      <c r="L151">
        <v>151</v>
      </c>
      <c r="M151" t="s">
        <v>627</v>
      </c>
      <c r="N151" t="s">
        <v>728</v>
      </c>
    </row>
    <row r="152" spans="1:14" ht="16.5" x14ac:dyDescent="0.25">
      <c r="B152" s="4">
        <v>45819</v>
      </c>
      <c r="C152" t="s">
        <v>16</v>
      </c>
      <c r="D152" t="s">
        <v>141</v>
      </c>
      <c r="E152" t="s">
        <v>208</v>
      </c>
      <c r="F152" t="s">
        <v>373</v>
      </c>
      <c r="H152" t="s">
        <v>536</v>
      </c>
      <c r="I152" t="s">
        <v>572</v>
      </c>
      <c r="J152" s="2">
        <v>45828</v>
      </c>
      <c r="K152" s="2">
        <v>45829</v>
      </c>
      <c r="L152">
        <v>152</v>
      </c>
      <c r="M152" t="s">
        <v>627</v>
      </c>
      <c r="N152" t="s">
        <v>728</v>
      </c>
    </row>
    <row r="153" spans="1:14" ht="16.5" x14ac:dyDescent="0.25">
      <c r="B153" s="4">
        <v>45692</v>
      </c>
      <c r="C153" t="s">
        <v>11</v>
      </c>
      <c r="D153" t="s">
        <v>106</v>
      </c>
      <c r="E153" t="s">
        <v>223</v>
      </c>
      <c r="F153" t="s">
        <v>385</v>
      </c>
      <c r="H153" t="s">
        <v>537</v>
      </c>
      <c r="I153" t="s">
        <v>567</v>
      </c>
      <c r="J153" s="2">
        <v>45831</v>
      </c>
      <c r="K153" s="2">
        <v>45831</v>
      </c>
      <c r="L153">
        <v>153</v>
      </c>
      <c r="M153" t="s">
        <v>597</v>
      </c>
      <c r="N153" t="s">
        <v>696</v>
      </c>
    </row>
    <row r="154" spans="1:14" ht="16.5" x14ac:dyDescent="0.25">
      <c r="B154" s="4">
        <v>45692</v>
      </c>
      <c r="C154" t="s">
        <v>11</v>
      </c>
      <c r="D154" t="s">
        <v>106</v>
      </c>
      <c r="E154" t="s">
        <v>208</v>
      </c>
      <c r="F154" t="s">
        <v>385</v>
      </c>
      <c r="H154" t="s">
        <v>537</v>
      </c>
      <c r="I154" t="s">
        <v>567</v>
      </c>
      <c r="J154" s="2">
        <v>45831</v>
      </c>
      <c r="K154" s="2">
        <v>45831</v>
      </c>
      <c r="L154">
        <v>154</v>
      </c>
      <c r="M154" t="s">
        <v>597</v>
      </c>
      <c r="N154" t="s">
        <v>696</v>
      </c>
    </row>
    <row r="155" spans="1:14" ht="16.5" x14ac:dyDescent="0.25">
      <c r="A155" t="s">
        <v>0</v>
      </c>
      <c r="B155" s="4">
        <v>45806</v>
      </c>
      <c r="C155" t="s">
        <v>49</v>
      </c>
      <c r="D155" t="s">
        <v>142</v>
      </c>
      <c r="E155" t="s">
        <v>258</v>
      </c>
      <c r="F155" t="s">
        <v>386</v>
      </c>
      <c r="H155" t="s">
        <v>577</v>
      </c>
      <c r="I155" t="s">
        <v>565</v>
      </c>
      <c r="J155" s="2">
        <v>45832</v>
      </c>
      <c r="K155" s="2">
        <v>45832</v>
      </c>
      <c r="L155">
        <v>155</v>
      </c>
      <c r="M155" t="s">
        <v>628</v>
      </c>
      <c r="N155" t="s">
        <v>729</v>
      </c>
    </row>
    <row r="156" spans="1:14" ht="16.5" x14ac:dyDescent="0.25">
      <c r="A156" t="s">
        <v>0</v>
      </c>
      <c r="B156" s="4">
        <v>45806</v>
      </c>
      <c r="C156" t="s">
        <v>49</v>
      </c>
      <c r="D156" t="s">
        <v>142</v>
      </c>
      <c r="E156" t="s">
        <v>203</v>
      </c>
      <c r="F156" t="s">
        <v>386</v>
      </c>
      <c r="H156" t="s">
        <v>577</v>
      </c>
      <c r="I156" t="s">
        <v>565</v>
      </c>
      <c r="J156" s="2">
        <v>45832</v>
      </c>
      <c r="K156" s="2">
        <v>45832</v>
      </c>
      <c r="L156">
        <v>156</v>
      </c>
      <c r="M156" t="s">
        <v>628</v>
      </c>
      <c r="N156" t="s">
        <v>729</v>
      </c>
    </row>
    <row r="157" spans="1:14" ht="16.5" x14ac:dyDescent="0.25">
      <c r="A157" t="s">
        <v>0</v>
      </c>
      <c r="B157" s="4">
        <v>45798</v>
      </c>
      <c r="C157" t="s">
        <v>50</v>
      </c>
      <c r="D157" t="s">
        <v>135</v>
      </c>
      <c r="E157" t="s">
        <v>251</v>
      </c>
      <c r="F157" t="s">
        <v>387</v>
      </c>
      <c r="H157" t="s">
        <v>577</v>
      </c>
      <c r="I157" t="s">
        <v>565</v>
      </c>
      <c r="J157" s="2">
        <v>45835</v>
      </c>
      <c r="K157" s="2">
        <v>45836</v>
      </c>
      <c r="L157">
        <v>157</v>
      </c>
      <c r="M157" t="s">
        <v>621</v>
      </c>
      <c r="N157" t="s">
        <v>723</v>
      </c>
    </row>
    <row r="158" spans="1:14" ht="16.5" x14ac:dyDescent="0.25">
      <c r="A158" t="s">
        <v>0</v>
      </c>
      <c r="B158" s="4">
        <v>45798</v>
      </c>
      <c r="C158" t="s">
        <v>50</v>
      </c>
      <c r="D158" t="s">
        <v>135</v>
      </c>
      <c r="E158" t="s">
        <v>203</v>
      </c>
      <c r="F158" t="s">
        <v>387</v>
      </c>
      <c r="H158" t="s">
        <v>577</v>
      </c>
      <c r="I158" t="s">
        <v>565</v>
      </c>
      <c r="J158" s="2">
        <v>45835</v>
      </c>
      <c r="K158" s="2">
        <v>45836</v>
      </c>
      <c r="L158">
        <v>158</v>
      </c>
      <c r="M158" t="s">
        <v>621</v>
      </c>
      <c r="N158" t="s">
        <v>723</v>
      </c>
    </row>
    <row r="159" spans="1:14" ht="16.5" x14ac:dyDescent="0.25">
      <c r="B159" s="4">
        <v>45802</v>
      </c>
      <c r="C159" t="s">
        <v>18</v>
      </c>
      <c r="D159" t="s">
        <v>143</v>
      </c>
      <c r="E159" t="s">
        <v>259</v>
      </c>
      <c r="F159" t="s">
        <v>388</v>
      </c>
      <c r="H159" t="s">
        <v>538</v>
      </c>
      <c r="I159" t="s">
        <v>566</v>
      </c>
      <c r="J159" s="2">
        <v>45836</v>
      </c>
      <c r="K159" s="2">
        <v>45837</v>
      </c>
      <c r="L159">
        <v>159</v>
      </c>
      <c r="M159" t="s">
        <v>621</v>
      </c>
      <c r="N159" t="s">
        <v>730</v>
      </c>
    </row>
    <row r="160" spans="1:14" ht="16.5" x14ac:dyDescent="0.25">
      <c r="B160" s="4">
        <v>45802</v>
      </c>
      <c r="C160" t="s">
        <v>18</v>
      </c>
      <c r="D160" t="s">
        <v>143</v>
      </c>
      <c r="E160" t="s">
        <v>203</v>
      </c>
      <c r="F160" t="s">
        <v>388</v>
      </c>
      <c r="H160" t="s">
        <v>538</v>
      </c>
      <c r="I160" t="s">
        <v>566</v>
      </c>
      <c r="J160" s="2">
        <v>45836</v>
      </c>
      <c r="K160" s="2">
        <v>45837</v>
      </c>
      <c r="L160">
        <v>160</v>
      </c>
      <c r="M160" t="s">
        <v>621</v>
      </c>
      <c r="N160" t="s">
        <v>730</v>
      </c>
    </row>
    <row r="161" spans="1:14" ht="16.5" x14ac:dyDescent="0.25">
      <c r="A161" t="s">
        <v>0</v>
      </c>
      <c r="B161" s="4">
        <v>45832</v>
      </c>
      <c r="C161" t="s">
        <v>51</v>
      </c>
      <c r="D161" t="s">
        <v>144</v>
      </c>
      <c r="E161" t="s">
        <v>255</v>
      </c>
      <c r="F161" t="s">
        <v>389</v>
      </c>
      <c r="H161" t="s">
        <v>538</v>
      </c>
      <c r="I161" t="s">
        <v>565</v>
      </c>
      <c r="J161" s="2">
        <v>45839</v>
      </c>
      <c r="K161" s="2">
        <v>45839</v>
      </c>
      <c r="L161">
        <v>161</v>
      </c>
      <c r="M161" t="s">
        <v>629</v>
      </c>
      <c r="N161" t="s">
        <v>730</v>
      </c>
    </row>
    <row r="162" spans="1:14" ht="16.5" x14ac:dyDescent="0.25">
      <c r="A162" t="s">
        <v>0</v>
      </c>
      <c r="B162" s="4">
        <v>45832</v>
      </c>
      <c r="C162" t="s">
        <v>51</v>
      </c>
      <c r="D162" t="s">
        <v>144</v>
      </c>
      <c r="E162" t="s">
        <v>255</v>
      </c>
      <c r="F162" t="s">
        <v>389</v>
      </c>
      <c r="H162" t="s">
        <v>538</v>
      </c>
      <c r="I162" t="s">
        <v>565</v>
      </c>
      <c r="J162" s="2">
        <v>45839</v>
      </c>
      <c r="K162" s="2">
        <v>45839</v>
      </c>
      <c r="L162">
        <v>162</v>
      </c>
      <c r="M162" t="s">
        <v>629</v>
      </c>
      <c r="N162" t="s">
        <v>730</v>
      </c>
    </row>
    <row r="163" spans="1:14" ht="16.5" x14ac:dyDescent="0.25">
      <c r="A163" t="s">
        <v>1</v>
      </c>
      <c r="B163" s="4">
        <v>45838</v>
      </c>
      <c r="C163" t="s">
        <v>16</v>
      </c>
      <c r="D163" t="s">
        <v>145</v>
      </c>
      <c r="E163" t="s">
        <v>260</v>
      </c>
      <c r="F163" t="s">
        <v>390</v>
      </c>
      <c r="H163" t="s">
        <v>539</v>
      </c>
      <c r="I163" t="s">
        <v>570</v>
      </c>
      <c r="J163" s="2">
        <v>45840</v>
      </c>
      <c r="K163" s="2">
        <v>45842</v>
      </c>
      <c r="L163">
        <v>163</v>
      </c>
      <c r="M163" t="s">
        <v>630</v>
      </c>
      <c r="N163" t="s">
        <v>731</v>
      </c>
    </row>
    <row r="164" spans="1:14" ht="16.5" x14ac:dyDescent="0.25">
      <c r="A164" t="s">
        <v>2</v>
      </c>
      <c r="B164" s="4">
        <v>45838</v>
      </c>
      <c r="C164" t="s">
        <v>16</v>
      </c>
      <c r="D164" t="s">
        <v>145</v>
      </c>
      <c r="E164" t="s">
        <v>203</v>
      </c>
      <c r="F164" t="s">
        <v>390</v>
      </c>
      <c r="H164" t="s">
        <v>539</v>
      </c>
      <c r="I164" t="s">
        <v>567</v>
      </c>
      <c r="J164" s="2">
        <v>45840</v>
      </c>
      <c r="K164" s="2">
        <v>45842</v>
      </c>
      <c r="L164">
        <v>164</v>
      </c>
      <c r="M164" t="s">
        <v>630</v>
      </c>
      <c r="N164" t="s">
        <v>731</v>
      </c>
    </row>
    <row r="165" spans="1:14" ht="16.5" x14ac:dyDescent="0.25">
      <c r="B165" s="4">
        <v>45839</v>
      </c>
      <c r="C165" t="s">
        <v>52</v>
      </c>
      <c r="D165" t="s">
        <v>146</v>
      </c>
      <c r="E165" t="s">
        <v>261</v>
      </c>
      <c r="F165" t="s">
        <v>391</v>
      </c>
      <c r="H165" t="s">
        <v>540</v>
      </c>
      <c r="I165" t="s">
        <v>567</v>
      </c>
      <c r="J165" s="2">
        <v>45845</v>
      </c>
      <c r="K165" s="2">
        <v>46211</v>
      </c>
      <c r="L165">
        <v>165</v>
      </c>
      <c r="M165" t="s">
        <v>631</v>
      </c>
      <c r="N165" t="s">
        <v>732</v>
      </c>
    </row>
    <row r="166" spans="1:14" ht="16.5" x14ac:dyDescent="0.25">
      <c r="B166" s="4">
        <v>45839</v>
      </c>
      <c r="C166" t="s">
        <v>52</v>
      </c>
      <c r="D166" t="s">
        <v>146</v>
      </c>
      <c r="E166" t="s">
        <v>203</v>
      </c>
      <c r="F166" t="s">
        <v>391</v>
      </c>
      <c r="H166" t="s">
        <v>540</v>
      </c>
      <c r="I166" t="s">
        <v>567</v>
      </c>
      <c r="J166" s="2">
        <v>45845</v>
      </c>
      <c r="K166" s="2">
        <v>46211</v>
      </c>
      <c r="L166">
        <v>166</v>
      </c>
      <c r="M166" t="s">
        <v>631</v>
      </c>
      <c r="N166" t="s">
        <v>732</v>
      </c>
    </row>
    <row r="167" spans="1:14" ht="16.5" x14ac:dyDescent="0.25">
      <c r="A167" t="s">
        <v>0</v>
      </c>
      <c r="B167" s="4">
        <v>45840</v>
      </c>
      <c r="C167" t="s">
        <v>53</v>
      </c>
      <c r="D167" t="s">
        <v>147</v>
      </c>
      <c r="E167" t="s">
        <v>262</v>
      </c>
      <c r="F167" t="s">
        <v>392</v>
      </c>
      <c r="H167" t="s">
        <v>541</v>
      </c>
      <c r="I167" t="s">
        <v>565</v>
      </c>
      <c r="J167" s="2">
        <v>45847</v>
      </c>
      <c r="K167" s="2">
        <v>45847</v>
      </c>
      <c r="L167">
        <v>167</v>
      </c>
      <c r="M167" t="s">
        <v>632</v>
      </c>
      <c r="N167" t="s">
        <v>733</v>
      </c>
    </row>
    <row r="168" spans="1:14" ht="16.5" x14ac:dyDescent="0.25">
      <c r="A168" t="s">
        <v>0</v>
      </c>
      <c r="B168" s="4">
        <v>45840</v>
      </c>
      <c r="C168" t="s">
        <v>53</v>
      </c>
      <c r="D168" t="s">
        <v>147</v>
      </c>
      <c r="E168" t="s">
        <v>208</v>
      </c>
      <c r="F168" t="s">
        <v>392</v>
      </c>
      <c r="H168" t="s">
        <v>541</v>
      </c>
      <c r="I168" t="s">
        <v>565</v>
      </c>
      <c r="J168" s="2">
        <v>45847</v>
      </c>
      <c r="K168" s="2">
        <v>45847</v>
      </c>
      <c r="L168">
        <v>168</v>
      </c>
      <c r="M168" t="s">
        <v>632</v>
      </c>
      <c r="N168" t="s">
        <v>733</v>
      </c>
    </row>
    <row r="169" spans="1:14" ht="16.5" x14ac:dyDescent="0.25">
      <c r="B169" s="4">
        <v>45728</v>
      </c>
      <c r="C169" t="s">
        <v>22</v>
      </c>
      <c r="D169" t="s">
        <v>105</v>
      </c>
      <c r="E169" t="s">
        <v>221</v>
      </c>
      <c r="F169" t="s">
        <v>393</v>
      </c>
      <c r="H169" t="s">
        <v>542</v>
      </c>
      <c r="I169" t="s">
        <v>572</v>
      </c>
      <c r="J169" s="2">
        <v>45852</v>
      </c>
      <c r="K169" s="2">
        <v>45855</v>
      </c>
      <c r="L169">
        <v>169</v>
      </c>
      <c r="M169" t="s">
        <v>596</v>
      </c>
      <c r="N169" t="s">
        <v>694</v>
      </c>
    </row>
    <row r="170" spans="1:14" ht="16.5" x14ac:dyDescent="0.25">
      <c r="B170" s="4">
        <v>45728</v>
      </c>
      <c r="C170" t="s">
        <v>22</v>
      </c>
      <c r="D170" t="s">
        <v>105</v>
      </c>
      <c r="E170" t="s">
        <v>203</v>
      </c>
      <c r="F170" t="s">
        <v>393</v>
      </c>
      <c r="H170" t="s">
        <v>542</v>
      </c>
      <c r="I170" t="s">
        <v>572</v>
      </c>
      <c r="J170" s="2">
        <v>45852</v>
      </c>
      <c r="K170" s="2">
        <v>45855</v>
      </c>
      <c r="L170">
        <v>170</v>
      </c>
      <c r="M170" t="s">
        <v>596</v>
      </c>
      <c r="N170" t="s">
        <v>694</v>
      </c>
    </row>
    <row r="171" spans="1:14" ht="16.5" x14ac:dyDescent="0.25">
      <c r="B171" s="4">
        <v>45847</v>
      </c>
      <c r="C171" t="s">
        <v>54</v>
      </c>
      <c r="D171" t="s">
        <v>148</v>
      </c>
      <c r="E171" t="s">
        <v>263</v>
      </c>
      <c r="F171" t="s">
        <v>394</v>
      </c>
      <c r="H171" t="s">
        <v>543</v>
      </c>
      <c r="I171" t="s">
        <v>566</v>
      </c>
      <c r="J171" s="2">
        <v>45860</v>
      </c>
      <c r="K171" s="2">
        <v>45861</v>
      </c>
      <c r="L171">
        <v>171</v>
      </c>
      <c r="M171" t="s">
        <v>633</v>
      </c>
      <c r="N171" t="s">
        <v>734</v>
      </c>
    </row>
    <row r="172" spans="1:14" ht="16.5" x14ac:dyDescent="0.25">
      <c r="B172" s="4">
        <v>45847</v>
      </c>
      <c r="C172" t="s">
        <v>54</v>
      </c>
      <c r="D172" t="s">
        <v>148</v>
      </c>
      <c r="E172" t="s">
        <v>203</v>
      </c>
      <c r="F172" t="s">
        <v>394</v>
      </c>
      <c r="H172" t="s">
        <v>543</v>
      </c>
      <c r="I172" t="s">
        <v>566</v>
      </c>
      <c r="J172" s="2">
        <v>45860</v>
      </c>
      <c r="K172" s="2">
        <v>45861</v>
      </c>
      <c r="L172">
        <v>172</v>
      </c>
      <c r="M172" t="s">
        <v>633</v>
      </c>
      <c r="N172" t="s">
        <v>734</v>
      </c>
    </row>
    <row r="173" spans="1:14" ht="16.5" x14ac:dyDescent="0.25">
      <c r="B173" s="4">
        <v>45855</v>
      </c>
      <c r="C173" t="s">
        <v>55</v>
      </c>
      <c r="D173" t="s">
        <v>149</v>
      </c>
      <c r="E173" t="s">
        <v>264</v>
      </c>
      <c r="F173" t="s">
        <v>394</v>
      </c>
      <c r="H173" t="s">
        <v>543</v>
      </c>
      <c r="I173" t="s">
        <v>566</v>
      </c>
      <c r="J173" s="2">
        <v>45860</v>
      </c>
      <c r="K173" s="2">
        <v>45861</v>
      </c>
      <c r="L173">
        <v>173</v>
      </c>
      <c r="M173" t="s">
        <v>634</v>
      </c>
      <c r="N173" t="s">
        <v>735</v>
      </c>
    </row>
    <row r="174" spans="1:14" ht="16.5" x14ac:dyDescent="0.25">
      <c r="B174" s="4">
        <v>45855</v>
      </c>
      <c r="C174" t="s">
        <v>55</v>
      </c>
      <c r="D174" t="s">
        <v>149</v>
      </c>
      <c r="E174" t="s">
        <v>203</v>
      </c>
      <c r="F174" t="s">
        <v>394</v>
      </c>
      <c r="H174" t="s">
        <v>543</v>
      </c>
      <c r="I174" t="s">
        <v>566</v>
      </c>
      <c r="J174" s="2">
        <v>45860</v>
      </c>
      <c r="K174" s="2">
        <v>45861</v>
      </c>
      <c r="L174">
        <v>174</v>
      </c>
      <c r="M174" t="s">
        <v>634</v>
      </c>
      <c r="N174" t="s">
        <v>735</v>
      </c>
    </row>
    <row r="175" spans="1:14" ht="16.5" x14ac:dyDescent="0.25">
      <c r="B175" s="4">
        <v>45847</v>
      </c>
      <c r="C175" t="s">
        <v>56</v>
      </c>
      <c r="D175" t="s">
        <v>150</v>
      </c>
      <c r="E175" t="s">
        <v>265</v>
      </c>
      <c r="F175" t="s">
        <v>395</v>
      </c>
      <c r="H175" t="s">
        <v>543</v>
      </c>
      <c r="I175" t="s">
        <v>566</v>
      </c>
      <c r="J175" s="2">
        <v>45862</v>
      </c>
      <c r="K175" s="2">
        <v>45862</v>
      </c>
      <c r="L175">
        <v>175</v>
      </c>
      <c r="M175" t="s">
        <v>635</v>
      </c>
      <c r="N175" t="s">
        <v>736</v>
      </c>
    </row>
    <row r="176" spans="1:14" ht="16.5" x14ac:dyDescent="0.25">
      <c r="B176" s="4">
        <v>45847</v>
      </c>
      <c r="C176" t="s">
        <v>56</v>
      </c>
      <c r="D176" t="s">
        <v>150</v>
      </c>
      <c r="E176" t="s">
        <v>208</v>
      </c>
      <c r="F176" t="s">
        <v>395</v>
      </c>
      <c r="H176" t="s">
        <v>543</v>
      </c>
      <c r="I176" t="s">
        <v>566</v>
      </c>
      <c r="J176" s="2">
        <v>45862</v>
      </c>
      <c r="K176" s="2">
        <v>45862</v>
      </c>
      <c r="L176">
        <v>176</v>
      </c>
      <c r="M176" t="s">
        <v>635</v>
      </c>
      <c r="N176" t="s">
        <v>736</v>
      </c>
    </row>
    <row r="177" spans="2:14" ht="16.5" x14ac:dyDescent="0.25">
      <c r="B177" s="4">
        <v>45728</v>
      </c>
      <c r="C177" t="s">
        <v>22</v>
      </c>
      <c r="D177" t="s">
        <v>105</v>
      </c>
      <c r="E177" t="s">
        <v>221</v>
      </c>
      <c r="F177" t="s">
        <v>396</v>
      </c>
      <c r="H177" t="s">
        <v>543</v>
      </c>
      <c r="I177" t="s">
        <v>568</v>
      </c>
      <c r="J177" s="2">
        <v>45866</v>
      </c>
      <c r="K177" s="2">
        <v>45867</v>
      </c>
      <c r="L177">
        <v>177</v>
      </c>
      <c r="M177" t="s">
        <v>596</v>
      </c>
      <c r="N177" t="s">
        <v>694</v>
      </c>
    </row>
    <row r="178" spans="2:14" ht="16.5" x14ac:dyDescent="0.25">
      <c r="B178" s="4">
        <v>45728</v>
      </c>
      <c r="C178" t="s">
        <v>22</v>
      </c>
      <c r="D178" t="s">
        <v>105</v>
      </c>
      <c r="E178" t="s">
        <v>203</v>
      </c>
      <c r="F178" t="s">
        <v>396</v>
      </c>
      <c r="H178" t="s">
        <v>543</v>
      </c>
      <c r="I178" t="s">
        <v>568</v>
      </c>
      <c r="J178" s="2">
        <v>45866</v>
      </c>
      <c r="K178" s="2">
        <v>45867</v>
      </c>
      <c r="L178">
        <v>178</v>
      </c>
      <c r="M178" t="s">
        <v>596</v>
      </c>
      <c r="N178" t="s">
        <v>694</v>
      </c>
    </row>
    <row r="179" spans="2:14" ht="16.5" x14ac:dyDescent="0.25">
      <c r="B179" s="4">
        <v>45804</v>
      </c>
      <c r="C179" t="s">
        <v>27</v>
      </c>
      <c r="D179" t="s">
        <v>151</v>
      </c>
      <c r="E179" t="s">
        <v>266</v>
      </c>
      <c r="F179" t="s">
        <v>397</v>
      </c>
      <c r="H179" t="s">
        <v>543</v>
      </c>
      <c r="I179" t="s">
        <v>572</v>
      </c>
      <c r="J179" s="2">
        <v>45869</v>
      </c>
      <c r="K179" s="2">
        <v>45870</v>
      </c>
      <c r="L179">
        <v>179</v>
      </c>
      <c r="M179" t="s">
        <v>636</v>
      </c>
      <c r="N179" t="s">
        <v>737</v>
      </c>
    </row>
    <row r="180" spans="2:14" ht="16.5" x14ac:dyDescent="0.25">
      <c r="B180" s="4">
        <v>45804</v>
      </c>
      <c r="C180" t="s">
        <v>27</v>
      </c>
      <c r="D180" t="s">
        <v>151</v>
      </c>
      <c r="E180" t="s">
        <v>203</v>
      </c>
      <c r="F180" t="s">
        <v>397</v>
      </c>
      <c r="H180" t="s">
        <v>543</v>
      </c>
      <c r="I180" t="s">
        <v>572</v>
      </c>
      <c r="J180" s="2">
        <v>45869</v>
      </c>
      <c r="K180" s="2">
        <v>45870</v>
      </c>
      <c r="L180">
        <v>180</v>
      </c>
      <c r="M180" t="s">
        <v>636</v>
      </c>
      <c r="N180" t="s">
        <v>737</v>
      </c>
    </row>
    <row r="181" spans="2:14" ht="16.5" x14ac:dyDescent="0.25">
      <c r="B181" s="4">
        <v>45652</v>
      </c>
      <c r="C181" t="s">
        <v>6</v>
      </c>
      <c r="D181" t="s">
        <v>88</v>
      </c>
      <c r="E181" t="s">
        <v>204</v>
      </c>
      <c r="F181" t="s">
        <v>398</v>
      </c>
      <c r="G181" t="s">
        <v>498</v>
      </c>
      <c r="H181" t="s">
        <v>544</v>
      </c>
      <c r="I181" t="s">
        <v>568</v>
      </c>
      <c r="J181" s="2">
        <v>45871</v>
      </c>
      <c r="K181" s="2">
        <v>45874</v>
      </c>
      <c r="L181">
        <v>181</v>
      </c>
      <c r="M181" t="s">
        <v>581</v>
      </c>
      <c r="N181" t="s">
        <v>679</v>
      </c>
    </row>
    <row r="182" spans="2:14" ht="16.5" x14ac:dyDescent="0.25">
      <c r="B182" s="4">
        <v>45652</v>
      </c>
      <c r="C182" t="s">
        <v>6</v>
      </c>
      <c r="D182" t="s">
        <v>88</v>
      </c>
      <c r="E182" t="s">
        <v>203</v>
      </c>
      <c r="F182" t="s">
        <v>398</v>
      </c>
      <c r="G182" t="s">
        <v>498</v>
      </c>
      <c r="H182" t="s">
        <v>544</v>
      </c>
      <c r="I182" t="s">
        <v>568</v>
      </c>
      <c r="J182" s="2">
        <v>45871</v>
      </c>
      <c r="K182" s="2">
        <v>45874</v>
      </c>
      <c r="L182">
        <v>182</v>
      </c>
      <c r="M182" t="s">
        <v>581</v>
      </c>
      <c r="N182" t="s">
        <v>679</v>
      </c>
    </row>
    <row r="183" spans="2:14" ht="16.5" x14ac:dyDescent="0.25">
      <c r="B183" s="4">
        <v>45692</v>
      </c>
      <c r="C183" t="s">
        <v>32</v>
      </c>
      <c r="D183" t="s">
        <v>120</v>
      </c>
      <c r="E183" t="s">
        <v>235</v>
      </c>
      <c r="F183" t="s">
        <v>399</v>
      </c>
      <c r="G183" t="s">
        <v>498</v>
      </c>
      <c r="H183" t="s">
        <v>544</v>
      </c>
      <c r="I183" t="s">
        <v>568</v>
      </c>
      <c r="J183" s="2">
        <v>45871</v>
      </c>
      <c r="K183" s="2">
        <v>45874</v>
      </c>
      <c r="L183">
        <v>183</v>
      </c>
      <c r="M183" t="s">
        <v>610</v>
      </c>
      <c r="N183" t="s">
        <v>708</v>
      </c>
    </row>
    <row r="184" spans="2:14" ht="16.5" x14ac:dyDescent="0.25">
      <c r="B184" s="4">
        <v>45692</v>
      </c>
      <c r="C184" t="s">
        <v>32</v>
      </c>
      <c r="D184" t="s">
        <v>120</v>
      </c>
      <c r="E184" t="s">
        <v>203</v>
      </c>
      <c r="F184" t="s">
        <v>399</v>
      </c>
      <c r="G184" t="s">
        <v>498</v>
      </c>
      <c r="H184" t="s">
        <v>544</v>
      </c>
      <c r="I184" t="s">
        <v>568</v>
      </c>
      <c r="J184" s="2">
        <v>45871</v>
      </c>
      <c r="K184" s="2">
        <v>45874</v>
      </c>
      <c r="L184">
        <v>184</v>
      </c>
      <c r="M184" t="s">
        <v>610</v>
      </c>
      <c r="N184" t="s">
        <v>708</v>
      </c>
    </row>
    <row r="185" spans="2:14" ht="16.5" x14ac:dyDescent="0.25">
      <c r="B185" s="4">
        <v>45859</v>
      </c>
      <c r="C185" t="s">
        <v>40</v>
      </c>
      <c r="D185" t="s">
        <v>152</v>
      </c>
      <c r="E185" t="s">
        <v>267</v>
      </c>
      <c r="F185" t="s">
        <v>400</v>
      </c>
      <c r="G185" t="s">
        <v>498</v>
      </c>
      <c r="H185" t="s">
        <v>544</v>
      </c>
      <c r="I185" t="s">
        <v>568</v>
      </c>
      <c r="J185" s="2">
        <v>45871</v>
      </c>
      <c r="K185" s="2">
        <v>45874</v>
      </c>
      <c r="L185">
        <v>185</v>
      </c>
      <c r="M185" t="s">
        <v>637</v>
      </c>
      <c r="N185" t="s">
        <v>738</v>
      </c>
    </row>
    <row r="186" spans="2:14" ht="16.5" x14ac:dyDescent="0.25">
      <c r="B186" s="4">
        <v>45859</v>
      </c>
      <c r="C186" t="s">
        <v>40</v>
      </c>
      <c r="D186" t="s">
        <v>152</v>
      </c>
      <c r="E186" t="s">
        <v>203</v>
      </c>
      <c r="F186" t="s">
        <v>400</v>
      </c>
      <c r="G186" t="s">
        <v>498</v>
      </c>
      <c r="H186" t="s">
        <v>544</v>
      </c>
      <c r="I186" t="s">
        <v>568</v>
      </c>
      <c r="J186" s="2">
        <v>45871</v>
      </c>
      <c r="K186" s="2">
        <v>45874</v>
      </c>
      <c r="L186">
        <v>186</v>
      </c>
      <c r="M186" t="s">
        <v>637</v>
      </c>
      <c r="N186" t="s">
        <v>738</v>
      </c>
    </row>
    <row r="187" spans="2:14" ht="16.5" x14ac:dyDescent="0.25">
      <c r="B187" s="4">
        <v>45728</v>
      </c>
      <c r="C187" t="s">
        <v>22</v>
      </c>
      <c r="D187" t="s">
        <v>105</v>
      </c>
      <c r="E187" t="s">
        <v>221</v>
      </c>
      <c r="F187" t="s">
        <v>401</v>
      </c>
      <c r="G187" t="s">
        <v>498</v>
      </c>
      <c r="H187" t="s">
        <v>544</v>
      </c>
      <c r="I187" t="s">
        <v>568</v>
      </c>
      <c r="J187" s="2">
        <v>45871</v>
      </c>
      <c r="K187" s="2">
        <v>45874</v>
      </c>
      <c r="L187">
        <v>187</v>
      </c>
      <c r="M187" t="s">
        <v>596</v>
      </c>
      <c r="N187" t="s">
        <v>694</v>
      </c>
    </row>
    <row r="188" spans="2:14" ht="16.5" x14ac:dyDescent="0.25">
      <c r="B188" s="4">
        <v>45728</v>
      </c>
      <c r="C188" t="s">
        <v>22</v>
      </c>
      <c r="D188" t="s">
        <v>105</v>
      </c>
      <c r="E188" t="s">
        <v>203</v>
      </c>
      <c r="F188" t="s">
        <v>401</v>
      </c>
      <c r="G188" t="s">
        <v>498</v>
      </c>
      <c r="H188" t="s">
        <v>544</v>
      </c>
      <c r="I188" t="s">
        <v>568</v>
      </c>
      <c r="J188" s="2">
        <v>45871</v>
      </c>
      <c r="K188" s="2">
        <v>45874</v>
      </c>
      <c r="L188">
        <v>188</v>
      </c>
      <c r="M188" t="s">
        <v>596</v>
      </c>
      <c r="N188" t="s">
        <v>694</v>
      </c>
    </row>
    <row r="189" spans="2:14" ht="16.5" x14ac:dyDescent="0.25">
      <c r="B189" s="4">
        <v>45652</v>
      </c>
      <c r="C189" t="s">
        <v>57</v>
      </c>
      <c r="D189" t="s">
        <v>88</v>
      </c>
      <c r="E189" t="s">
        <v>204</v>
      </c>
      <c r="F189" t="s">
        <v>402</v>
      </c>
      <c r="G189" t="s">
        <v>499</v>
      </c>
      <c r="H189" t="s">
        <v>545</v>
      </c>
      <c r="I189" t="s">
        <v>574</v>
      </c>
      <c r="J189" s="2">
        <v>45875</v>
      </c>
      <c r="K189" s="2">
        <v>45876</v>
      </c>
      <c r="L189">
        <v>189</v>
      </c>
      <c r="M189" t="s">
        <v>581</v>
      </c>
      <c r="N189" t="s">
        <v>679</v>
      </c>
    </row>
    <row r="190" spans="2:14" ht="16.5" x14ac:dyDescent="0.25">
      <c r="B190" s="4">
        <v>45652</v>
      </c>
      <c r="C190" t="s">
        <v>57</v>
      </c>
      <c r="D190" t="s">
        <v>88</v>
      </c>
      <c r="E190" t="s">
        <v>203</v>
      </c>
      <c r="F190" t="s">
        <v>402</v>
      </c>
      <c r="G190" t="s">
        <v>499</v>
      </c>
      <c r="H190" t="s">
        <v>545</v>
      </c>
      <c r="I190" t="s">
        <v>574</v>
      </c>
      <c r="J190" s="2">
        <v>45875</v>
      </c>
      <c r="K190" s="2">
        <v>45876</v>
      </c>
      <c r="L190">
        <v>190</v>
      </c>
      <c r="M190" t="s">
        <v>581</v>
      </c>
      <c r="N190" t="s">
        <v>679</v>
      </c>
    </row>
    <row r="191" spans="2:14" ht="16.5" x14ac:dyDescent="0.25">
      <c r="B191" s="4">
        <v>45859</v>
      </c>
      <c r="C191" t="s">
        <v>40</v>
      </c>
      <c r="D191" t="s">
        <v>152</v>
      </c>
      <c r="E191" t="s">
        <v>267</v>
      </c>
      <c r="F191" t="s">
        <v>403</v>
      </c>
      <c r="G191" t="s">
        <v>499</v>
      </c>
      <c r="H191" t="s">
        <v>545</v>
      </c>
      <c r="I191" t="s">
        <v>574</v>
      </c>
      <c r="J191" s="2">
        <v>45875</v>
      </c>
      <c r="K191" s="2">
        <v>45876</v>
      </c>
      <c r="L191">
        <v>191</v>
      </c>
      <c r="M191" t="s">
        <v>637</v>
      </c>
      <c r="N191" t="s">
        <v>738</v>
      </c>
    </row>
    <row r="192" spans="2:14" ht="16.5" x14ac:dyDescent="0.25">
      <c r="B192" s="4">
        <v>45859</v>
      </c>
      <c r="C192" t="s">
        <v>40</v>
      </c>
      <c r="D192" t="s">
        <v>152</v>
      </c>
      <c r="E192" t="s">
        <v>203</v>
      </c>
      <c r="F192" t="s">
        <v>403</v>
      </c>
      <c r="G192" t="s">
        <v>499</v>
      </c>
      <c r="H192" t="s">
        <v>545</v>
      </c>
      <c r="I192" t="s">
        <v>574</v>
      </c>
      <c r="J192" s="2">
        <v>45875</v>
      </c>
      <c r="K192" s="2">
        <v>45876</v>
      </c>
      <c r="L192">
        <v>192</v>
      </c>
      <c r="M192" t="s">
        <v>637</v>
      </c>
      <c r="N192" t="s">
        <v>738</v>
      </c>
    </row>
    <row r="193" spans="1:14" ht="16.5" x14ac:dyDescent="0.25">
      <c r="B193" s="4">
        <v>45692</v>
      </c>
      <c r="C193" t="s">
        <v>11</v>
      </c>
      <c r="D193" t="s">
        <v>106</v>
      </c>
      <c r="E193" t="s">
        <v>223</v>
      </c>
      <c r="F193" t="s">
        <v>404</v>
      </c>
      <c r="G193" t="s">
        <v>500</v>
      </c>
      <c r="H193" t="s">
        <v>545</v>
      </c>
      <c r="I193" t="s">
        <v>574</v>
      </c>
      <c r="J193" s="2">
        <v>45875</v>
      </c>
      <c r="K193" s="2">
        <v>45876</v>
      </c>
      <c r="L193">
        <v>193</v>
      </c>
      <c r="M193" t="s">
        <v>597</v>
      </c>
      <c r="N193" t="s">
        <v>696</v>
      </c>
    </row>
    <row r="194" spans="1:14" ht="16.5" x14ac:dyDescent="0.25">
      <c r="B194" s="4">
        <v>45692</v>
      </c>
      <c r="C194" t="s">
        <v>11</v>
      </c>
      <c r="D194" t="s">
        <v>106</v>
      </c>
      <c r="E194" t="s">
        <v>203</v>
      </c>
      <c r="F194" t="s">
        <v>404</v>
      </c>
      <c r="G194" t="s">
        <v>500</v>
      </c>
      <c r="H194" t="s">
        <v>545</v>
      </c>
      <c r="I194" t="s">
        <v>574</v>
      </c>
      <c r="J194" s="2">
        <v>45875</v>
      </c>
      <c r="K194" s="2">
        <v>45876</v>
      </c>
      <c r="L194">
        <v>194</v>
      </c>
      <c r="M194" t="s">
        <v>597</v>
      </c>
      <c r="N194" t="s">
        <v>696</v>
      </c>
    </row>
    <row r="195" spans="1:14" ht="16.5" x14ac:dyDescent="0.25">
      <c r="B195" s="4">
        <v>45870</v>
      </c>
      <c r="C195" t="s">
        <v>32</v>
      </c>
      <c r="D195" t="s">
        <v>153</v>
      </c>
      <c r="E195" t="s">
        <v>268</v>
      </c>
      <c r="F195" t="s">
        <v>405</v>
      </c>
      <c r="H195" t="s">
        <v>545</v>
      </c>
      <c r="I195" t="s">
        <v>574</v>
      </c>
      <c r="J195" s="2">
        <v>45875</v>
      </c>
      <c r="K195" s="2">
        <v>45876</v>
      </c>
      <c r="L195">
        <v>195</v>
      </c>
      <c r="M195" t="s">
        <v>597</v>
      </c>
      <c r="N195" t="s">
        <v>739</v>
      </c>
    </row>
    <row r="196" spans="1:14" ht="16.5" x14ac:dyDescent="0.25">
      <c r="B196" s="4">
        <v>45870</v>
      </c>
      <c r="C196" t="s">
        <v>32</v>
      </c>
      <c r="D196" t="s">
        <v>153</v>
      </c>
      <c r="E196" t="s">
        <v>208</v>
      </c>
      <c r="F196" t="s">
        <v>405</v>
      </c>
      <c r="H196" t="s">
        <v>545</v>
      </c>
      <c r="I196" t="s">
        <v>574</v>
      </c>
      <c r="J196" s="2">
        <v>45875</v>
      </c>
      <c r="K196" s="2">
        <v>45876</v>
      </c>
      <c r="L196">
        <v>196</v>
      </c>
      <c r="M196" t="s">
        <v>597</v>
      </c>
      <c r="N196" t="s">
        <v>739</v>
      </c>
    </row>
    <row r="197" spans="1:14" ht="16.5" x14ac:dyDescent="0.25">
      <c r="B197" s="4">
        <v>46238</v>
      </c>
      <c r="C197" t="s">
        <v>58</v>
      </c>
      <c r="D197" t="s">
        <v>154</v>
      </c>
      <c r="E197" t="s">
        <v>269</v>
      </c>
      <c r="F197" t="s">
        <v>406</v>
      </c>
      <c r="H197" t="s">
        <v>545</v>
      </c>
      <c r="I197" t="s">
        <v>574</v>
      </c>
      <c r="J197" s="2">
        <v>45875</v>
      </c>
      <c r="K197" s="2">
        <v>45876</v>
      </c>
      <c r="L197">
        <v>197</v>
      </c>
      <c r="M197" t="s">
        <v>638</v>
      </c>
      <c r="N197" t="s">
        <v>740</v>
      </c>
    </row>
    <row r="198" spans="1:14" ht="16.5" x14ac:dyDescent="0.25">
      <c r="B198" s="4">
        <v>46238</v>
      </c>
      <c r="C198" t="s">
        <v>58</v>
      </c>
      <c r="D198" t="s">
        <v>154</v>
      </c>
      <c r="E198" t="s">
        <v>208</v>
      </c>
      <c r="F198" t="s">
        <v>406</v>
      </c>
      <c r="H198" t="s">
        <v>545</v>
      </c>
      <c r="I198" t="s">
        <v>574</v>
      </c>
      <c r="J198" s="2">
        <v>45875</v>
      </c>
      <c r="K198" s="2">
        <v>45876</v>
      </c>
      <c r="L198">
        <v>198</v>
      </c>
      <c r="M198" t="s">
        <v>638</v>
      </c>
      <c r="N198" t="s">
        <v>740</v>
      </c>
    </row>
    <row r="199" spans="1:14" ht="16.5" x14ac:dyDescent="0.25">
      <c r="B199" s="4">
        <v>45693</v>
      </c>
      <c r="C199" t="s">
        <v>13</v>
      </c>
      <c r="D199" t="s">
        <v>90</v>
      </c>
      <c r="E199" t="s">
        <v>206</v>
      </c>
      <c r="F199" t="s">
        <v>407</v>
      </c>
      <c r="H199" t="s">
        <v>546</v>
      </c>
      <c r="I199" t="s">
        <v>566</v>
      </c>
      <c r="J199" s="2">
        <v>45877</v>
      </c>
      <c r="K199" s="2">
        <v>45878</v>
      </c>
      <c r="L199">
        <v>199</v>
      </c>
      <c r="M199" t="s">
        <v>583</v>
      </c>
      <c r="N199" t="s">
        <v>681</v>
      </c>
    </row>
    <row r="200" spans="1:14" ht="16.5" x14ac:dyDescent="0.25">
      <c r="B200" s="4">
        <v>45693</v>
      </c>
      <c r="C200" t="s">
        <v>13</v>
      </c>
      <c r="D200" t="s">
        <v>90</v>
      </c>
      <c r="E200" t="s">
        <v>203</v>
      </c>
      <c r="F200" t="s">
        <v>407</v>
      </c>
      <c r="H200" t="s">
        <v>546</v>
      </c>
      <c r="I200" t="s">
        <v>566</v>
      </c>
      <c r="J200" s="2">
        <v>45877</v>
      </c>
      <c r="K200" s="2">
        <v>45878</v>
      </c>
      <c r="L200">
        <v>200</v>
      </c>
      <c r="M200" t="s">
        <v>583</v>
      </c>
      <c r="N200" t="s">
        <v>681</v>
      </c>
    </row>
    <row r="201" spans="1:14" ht="16.5" x14ac:dyDescent="0.25">
      <c r="B201" s="4">
        <v>45854</v>
      </c>
      <c r="C201" t="s">
        <v>59</v>
      </c>
      <c r="D201" t="s">
        <v>155</v>
      </c>
      <c r="E201" t="s">
        <v>255</v>
      </c>
      <c r="F201" t="s">
        <v>408</v>
      </c>
      <c r="H201" t="s">
        <v>547</v>
      </c>
      <c r="I201" t="s">
        <v>575</v>
      </c>
      <c r="J201" s="2">
        <v>45882</v>
      </c>
      <c r="K201" s="2">
        <v>45882</v>
      </c>
      <c r="L201">
        <v>201</v>
      </c>
      <c r="M201" t="s">
        <v>639</v>
      </c>
      <c r="N201" t="s">
        <v>681</v>
      </c>
    </row>
    <row r="202" spans="1:14" ht="16.5" x14ac:dyDescent="0.25">
      <c r="B202" s="4">
        <v>45854</v>
      </c>
      <c r="C202" t="s">
        <v>59</v>
      </c>
      <c r="D202" t="s">
        <v>155</v>
      </c>
      <c r="E202" t="s">
        <v>255</v>
      </c>
      <c r="F202" t="s">
        <v>408</v>
      </c>
      <c r="H202" t="s">
        <v>547</v>
      </c>
      <c r="I202" t="s">
        <v>575</v>
      </c>
      <c r="J202" s="2">
        <v>45882</v>
      </c>
      <c r="K202" s="2">
        <v>45882</v>
      </c>
      <c r="L202">
        <v>202</v>
      </c>
      <c r="M202" t="s">
        <v>639</v>
      </c>
      <c r="N202" t="s">
        <v>681</v>
      </c>
    </row>
    <row r="203" spans="1:14" ht="16.5" x14ac:dyDescent="0.25">
      <c r="A203" t="s">
        <v>0</v>
      </c>
      <c r="B203" s="4">
        <v>45854</v>
      </c>
      <c r="C203" t="s">
        <v>59</v>
      </c>
      <c r="D203" t="s">
        <v>155</v>
      </c>
      <c r="E203" t="s">
        <v>270</v>
      </c>
      <c r="F203" t="s">
        <v>409</v>
      </c>
      <c r="H203" t="s">
        <v>577</v>
      </c>
      <c r="I203" t="s">
        <v>565</v>
      </c>
      <c r="J203" s="2">
        <v>45882</v>
      </c>
      <c r="K203" s="2">
        <v>45882</v>
      </c>
      <c r="L203">
        <v>203</v>
      </c>
      <c r="M203" t="s">
        <v>639</v>
      </c>
      <c r="N203" t="s">
        <v>741</v>
      </c>
    </row>
    <row r="204" spans="1:14" ht="16.5" x14ac:dyDescent="0.25">
      <c r="A204" t="s">
        <v>0</v>
      </c>
      <c r="B204" s="4">
        <v>45854</v>
      </c>
      <c r="C204" t="s">
        <v>59</v>
      </c>
      <c r="D204" t="s">
        <v>155</v>
      </c>
      <c r="E204" t="s">
        <v>203</v>
      </c>
      <c r="F204" t="s">
        <v>409</v>
      </c>
      <c r="H204" t="s">
        <v>577</v>
      </c>
      <c r="I204" t="s">
        <v>565</v>
      </c>
      <c r="J204" s="2">
        <v>45882</v>
      </c>
      <c r="K204" s="2">
        <v>45882</v>
      </c>
      <c r="L204">
        <v>204</v>
      </c>
      <c r="M204" t="s">
        <v>639</v>
      </c>
      <c r="N204" t="s">
        <v>741</v>
      </c>
    </row>
    <row r="205" spans="1:14" ht="16.5" x14ac:dyDescent="0.25">
      <c r="A205" t="s">
        <v>1</v>
      </c>
      <c r="B205" s="4">
        <v>45866</v>
      </c>
      <c r="C205" t="s">
        <v>60</v>
      </c>
      <c r="D205" t="s">
        <v>156</v>
      </c>
      <c r="E205" t="s">
        <v>271</v>
      </c>
      <c r="F205" t="s">
        <v>410</v>
      </c>
      <c r="H205" t="s">
        <v>548</v>
      </c>
      <c r="I205" t="s">
        <v>566</v>
      </c>
      <c r="J205" s="2">
        <v>45889</v>
      </c>
      <c r="K205" s="2">
        <v>45525</v>
      </c>
      <c r="L205">
        <v>205</v>
      </c>
      <c r="M205" t="s">
        <v>640</v>
      </c>
      <c r="N205" t="s">
        <v>742</v>
      </c>
    </row>
    <row r="206" spans="1:14" ht="16.5" x14ac:dyDescent="0.25">
      <c r="A206" t="s">
        <v>2</v>
      </c>
      <c r="B206" s="4">
        <v>45866</v>
      </c>
      <c r="C206" t="s">
        <v>60</v>
      </c>
      <c r="D206" t="s">
        <v>156</v>
      </c>
      <c r="E206" t="s">
        <v>208</v>
      </c>
      <c r="F206" t="s">
        <v>410</v>
      </c>
      <c r="H206" t="s">
        <v>548</v>
      </c>
      <c r="I206" t="s">
        <v>570</v>
      </c>
      <c r="J206" s="2">
        <v>45889</v>
      </c>
      <c r="K206" s="2">
        <v>45525</v>
      </c>
      <c r="L206">
        <v>206</v>
      </c>
      <c r="M206" t="s">
        <v>640</v>
      </c>
      <c r="N206" t="s">
        <v>742</v>
      </c>
    </row>
    <row r="207" spans="1:14" ht="16.5" x14ac:dyDescent="0.25">
      <c r="B207" s="4">
        <v>45693</v>
      </c>
      <c r="C207" t="s">
        <v>13</v>
      </c>
      <c r="D207" t="s">
        <v>90</v>
      </c>
      <c r="E207" t="s">
        <v>206</v>
      </c>
      <c r="F207" t="s">
        <v>411</v>
      </c>
      <c r="H207" t="s">
        <v>549</v>
      </c>
      <c r="I207" t="s">
        <v>572</v>
      </c>
      <c r="J207" s="2">
        <v>45891</v>
      </c>
      <c r="K207" s="2">
        <v>45892</v>
      </c>
      <c r="L207">
        <v>207</v>
      </c>
      <c r="M207" t="s">
        <v>583</v>
      </c>
      <c r="N207" t="s">
        <v>681</v>
      </c>
    </row>
    <row r="208" spans="1:14" ht="16.5" x14ac:dyDescent="0.25">
      <c r="B208" s="4">
        <v>45693</v>
      </c>
      <c r="C208" t="s">
        <v>13</v>
      </c>
      <c r="D208" t="s">
        <v>90</v>
      </c>
      <c r="E208" t="s">
        <v>272</v>
      </c>
      <c r="F208" t="s">
        <v>411</v>
      </c>
      <c r="H208" t="s">
        <v>549</v>
      </c>
      <c r="I208" t="s">
        <v>572</v>
      </c>
      <c r="J208" s="2">
        <v>45891</v>
      </c>
      <c r="K208" s="2">
        <v>45892</v>
      </c>
      <c r="L208">
        <v>208</v>
      </c>
      <c r="M208" t="s">
        <v>583</v>
      </c>
      <c r="N208" t="s">
        <v>681</v>
      </c>
    </row>
    <row r="209" spans="1:14" ht="16.5" x14ac:dyDescent="0.25">
      <c r="B209" s="4">
        <v>44753</v>
      </c>
      <c r="C209" t="s">
        <v>9</v>
      </c>
      <c r="D209" t="s">
        <v>157</v>
      </c>
      <c r="E209" t="s">
        <v>273</v>
      </c>
      <c r="F209" t="s">
        <v>412</v>
      </c>
      <c r="H209" t="s">
        <v>549</v>
      </c>
      <c r="I209" t="s">
        <v>567</v>
      </c>
      <c r="J209" s="2">
        <v>45893</v>
      </c>
      <c r="K209" s="2">
        <v>45895</v>
      </c>
      <c r="L209">
        <v>209</v>
      </c>
      <c r="M209" t="s">
        <v>641</v>
      </c>
      <c r="N209" t="s">
        <v>743</v>
      </c>
    </row>
    <row r="210" spans="1:14" ht="16.5" x14ac:dyDescent="0.25">
      <c r="B210" s="4">
        <v>44753</v>
      </c>
      <c r="C210" t="s">
        <v>9</v>
      </c>
      <c r="D210" t="s">
        <v>157</v>
      </c>
      <c r="E210" t="s">
        <v>208</v>
      </c>
      <c r="F210" t="s">
        <v>412</v>
      </c>
      <c r="H210" t="s">
        <v>549</v>
      </c>
      <c r="I210" t="s">
        <v>567</v>
      </c>
      <c r="J210" s="2">
        <v>45893</v>
      </c>
      <c r="K210" s="2">
        <v>45895</v>
      </c>
      <c r="L210">
        <v>210</v>
      </c>
      <c r="M210" t="s">
        <v>641</v>
      </c>
      <c r="N210" t="s">
        <v>743</v>
      </c>
    </row>
    <row r="211" spans="1:14" ht="16.5" x14ac:dyDescent="0.25">
      <c r="B211" s="4">
        <v>45652</v>
      </c>
      <c r="C211" t="s">
        <v>6</v>
      </c>
      <c r="D211" t="s">
        <v>88</v>
      </c>
      <c r="E211" t="s">
        <v>204</v>
      </c>
      <c r="F211" t="s">
        <v>412</v>
      </c>
      <c r="H211" t="s">
        <v>549</v>
      </c>
      <c r="I211" t="s">
        <v>567</v>
      </c>
      <c r="J211" s="2">
        <v>45895</v>
      </c>
      <c r="K211" s="2">
        <v>45895</v>
      </c>
      <c r="L211">
        <v>211</v>
      </c>
      <c r="M211" t="s">
        <v>581</v>
      </c>
      <c r="N211" t="s">
        <v>679</v>
      </c>
    </row>
    <row r="212" spans="1:14" ht="16.5" x14ac:dyDescent="0.25">
      <c r="B212" s="4">
        <v>45652</v>
      </c>
      <c r="C212" t="s">
        <v>6</v>
      </c>
      <c r="D212" t="s">
        <v>88</v>
      </c>
      <c r="E212" t="s">
        <v>208</v>
      </c>
      <c r="F212" t="s">
        <v>412</v>
      </c>
      <c r="H212" t="s">
        <v>549</v>
      </c>
      <c r="I212" t="s">
        <v>567</v>
      </c>
      <c r="J212" s="2">
        <v>45895</v>
      </c>
      <c r="K212" s="2">
        <v>45895</v>
      </c>
      <c r="L212">
        <v>212</v>
      </c>
      <c r="M212" t="s">
        <v>581</v>
      </c>
      <c r="N212" t="s">
        <v>679</v>
      </c>
    </row>
    <row r="213" spans="1:14" ht="16.5" x14ac:dyDescent="0.25">
      <c r="B213" s="4">
        <v>45852</v>
      </c>
      <c r="C213" t="s">
        <v>15</v>
      </c>
      <c r="D213" t="s">
        <v>158</v>
      </c>
      <c r="E213" t="s">
        <v>274</v>
      </c>
      <c r="F213" t="s">
        <v>413</v>
      </c>
      <c r="H213" t="s">
        <v>577</v>
      </c>
      <c r="I213" t="s">
        <v>565</v>
      </c>
      <c r="J213" s="2">
        <v>45895</v>
      </c>
      <c r="K213" s="2">
        <v>45895</v>
      </c>
      <c r="L213">
        <v>213</v>
      </c>
      <c r="M213" t="s">
        <v>642</v>
      </c>
      <c r="N213" t="s">
        <v>744</v>
      </c>
    </row>
    <row r="214" spans="1:14" ht="16.5" x14ac:dyDescent="0.25">
      <c r="B214" s="4">
        <v>45852</v>
      </c>
      <c r="C214" t="s">
        <v>15</v>
      </c>
      <c r="D214" t="s">
        <v>158</v>
      </c>
      <c r="E214" t="s">
        <v>203</v>
      </c>
      <c r="F214" t="s">
        <v>413</v>
      </c>
      <c r="H214" t="s">
        <v>549</v>
      </c>
      <c r="I214" t="s">
        <v>565</v>
      </c>
      <c r="J214" s="2">
        <v>45895</v>
      </c>
      <c r="K214" s="2">
        <v>45895</v>
      </c>
      <c r="L214">
        <v>214</v>
      </c>
      <c r="M214" t="s">
        <v>642</v>
      </c>
      <c r="N214" t="s">
        <v>744</v>
      </c>
    </row>
    <row r="215" spans="1:14" ht="16.5" x14ac:dyDescent="0.25">
      <c r="B215" s="4">
        <v>45859</v>
      </c>
      <c r="C215" t="s">
        <v>40</v>
      </c>
      <c r="D215" t="s">
        <v>152</v>
      </c>
      <c r="E215" t="s">
        <v>267</v>
      </c>
      <c r="F215" t="s">
        <v>414</v>
      </c>
      <c r="H215" t="s">
        <v>550</v>
      </c>
      <c r="I215" t="s">
        <v>572</v>
      </c>
      <c r="J215" s="2">
        <v>45896</v>
      </c>
      <c r="K215" s="2">
        <v>45897</v>
      </c>
      <c r="L215">
        <v>215</v>
      </c>
      <c r="M215" t="s">
        <v>637</v>
      </c>
      <c r="N215" t="s">
        <v>738</v>
      </c>
    </row>
    <row r="216" spans="1:14" ht="16.5" x14ac:dyDescent="0.25">
      <c r="B216" s="4">
        <v>45859</v>
      </c>
      <c r="C216" t="s">
        <v>40</v>
      </c>
      <c r="D216" t="s">
        <v>152</v>
      </c>
      <c r="E216" t="s">
        <v>208</v>
      </c>
      <c r="F216" t="s">
        <v>414</v>
      </c>
      <c r="H216" t="s">
        <v>550</v>
      </c>
      <c r="I216" t="s">
        <v>572</v>
      </c>
      <c r="J216" s="2">
        <v>45896</v>
      </c>
      <c r="K216" s="2">
        <v>45897</v>
      </c>
      <c r="L216">
        <v>216</v>
      </c>
      <c r="M216" t="s">
        <v>637</v>
      </c>
      <c r="N216" t="s">
        <v>738</v>
      </c>
    </row>
    <row r="217" spans="1:14" ht="16.5" x14ac:dyDescent="0.25">
      <c r="B217" s="4">
        <v>45875</v>
      </c>
      <c r="C217" t="s">
        <v>32</v>
      </c>
      <c r="D217" t="s">
        <v>159</v>
      </c>
      <c r="E217" t="s">
        <v>275</v>
      </c>
      <c r="F217" t="s">
        <v>415</v>
      </c>
      <c r="H217" t="s">
        <v>550</v>
      </c>
      <c r="I217" t="s">
        <v>572</v>
      </c>
      <c r="J217" s="2">
        <v>45896</v>
      </c>
      <c r="K217" s="2">
        <v>45897</v>
      </c>
      <c r="L217">
        <v>217</v>
      </c>
      <c r="M217" t="s">
        <v>643</v>
      </c>
      <c r="N217" t="s">
        <v>745</v>
      </c>
    </row>
    <row r="218" spans="1:14" ht="16.5" x14ac:dyDescent="0.25">
      <c r="B218" s="4">
        <v>45875</v>
      </c>
      <c r="C218" t="s">
        <v>32</v>
      </c>
      <c r="D218" t="s">
        <v>159</v>
      </c>
      <c r="E218" t="s">
        <v>272</v>
      </c>
      <c r="F218" t="s">
        <v>415</v>
      </c>
      <c r="H218" t="s">
        <v>550</v>
      </c>
      <c r="I218" t="s">
        <v>572</v>
      </c>
      <c r="J218" s="2">
        <v>45896</v>
      </c>
      <c r="K218" s="2">
        <v>45897</v>
      </c>
      <c r="L218">
        <v>218</v>
      </c>
      <c r="M218" t="s">
        <v>643</v>
      </c>
      <c r="N218" t="s">
        <v>745</v>
      </c>
    </row>
    <row r="219" spans="1:14" ht="16.5" x14ac:dyDescent="0.25">
      <c r="A219" t="s">
        <v>1</v>
      </c>
      <c r="B219" s="4">
        <v>45692</v>
      </c>
      <c r="C219" t="s">
        <v>11</v>
      </c>
      <c r="D219" t="s">
        <v>106</v>
      </c>
      <c r="E219" t="s">
        <v>223</v>
      </c>
      <c r="F219" t="s">
        <v>416</v>
      </c>
      <c r="H219" t="s">
        <v>550</v>
      </c>
      <c r="I219" t="s">
        <v>570</v>
      </c>
      <c r="J219" s="2">
        <v>45898</v>
      </c>
      <c r="K219" s="2">
        <v>45899</v>
      </c>
      <c r="L219">
        <v>219</v>
      </c>
      <c r="M219" t="s">
        <v>597</v>
      </c>
      <c r="N219" t="s">
        <v>696</v>
      </c>
    </row>
    <row r="220" spans="1:14" ht="16.5" x14ac:dyDescent="0.25">
      <c r="A220" t="s">
        <v>2</v>
      </c>
      <c r="B220" s="4">
        <v>45692</v>
      </c>
      <c r="C220" t="s">
        <v>11</v>
      </c>
      <c r="D220" t="s">
        <v>106</v>
      </c>
      <c r="E220" t="s">
        <v>272</v>
      </c>
      <c r="F220" t="s">
        <v>416</v>
      </c>
      <c r="H220" t="s">
        <v>550</v>
      </c>
      <c r="I220" t="s">
        <v>566</v>
      </c>
      <c r="J220" s="2">
        <v>45898</v>
      </c>
      <c r="K220" s="2">
        <v>45899</v>
      </c>
      <c r="L220">
        <v>220</v>
      </c>
      <c r="M220" t="s">
        <v>597</v>
      </c>
      <c r="N220" t="s">
        <v>696</v>
      </c>
    </row>
    <row r="221" spans="1:14" ht="16.5" x14ac:dyDescent="0.25">
      <c r="B221" s="4">
        <v>45870</v>
      </c>
      <c r="C221" t="s">
        <v>61</v>
      </c>
      <c r="D221" t="s">
        <v>160</v>
      </c>
      <c r="E221" t="s">
        <v>276</v>
      </c>
      <c r="F221" t="s">
        <v>417</v>
      </c>
      <c r="H221" t="s">
        <v>550</v>
      </c>
      <c r="I221" t="s">
        <v>567</v>
      </c>
      <c r="J221" s="2">
        <v>45900</v>
      </c>
      <c r="K221" s="2">
        <v>45900</v>
      </c>
      <c r="L221">
        <v>221</v>
      </c>
      <c r="M221" t="s">
        <v>644</v>
      </c>
      <c r="N221" t="s">
        <v>746</v>
      </c>
    </row>
    <row r="222" spans="1:14" ht="16.5" x14ac:dyDescent="0.25">
      <c r="B222" s="4">
        <v>45870</v>
      </c>
      <c r="C222" t="s">
        <v>61</v>
      </c>
      <c r="D222" t="s">
        <v>160</v>
      </c>
      <c r="E222" t="s">
        <v>208</v>
      </c>
      <c r="F222" t="s">
        <v>417</v>
      </c>
      <c r="H222" t="s">
        <v>550</v>
      </c>
      <c r="I222" t="s">
        <v>567</v>
      </c>
      <c r="J222" s="2">
        <v>45900</v>
      </c>
      <c r="K222" s="2">
        <v>45900</v>
      </c>
      <c r="L222">
        <v>222</v>
      </c>
      <c r="M222" t="s">
        <v>644</v>
      </c>
      <c r="N222" t="s">
        <v>746</v>
      </c>
    </row>
    <row r="223" spans="1:14" ht="16.5" x14ac:dyDescent="0.25">
      <c r="B223" s="4">
        <v>45881</v>
      </c>
      <c r="C223" t="s">
        <v>62</v>
      </c>
      <c r="D223" t="s">
        <v>161</v>
      </c>
      <c r="E223" t="s">
        <v>277</v>
      </c>
      <c r="F223" t="s">
        <v>417</v>
      </c>
      <c r="H223" t="s">
        <v>550</v>
      </c>
      <c r="I223" t="s">
        <v>567</v>
      </c>
      <c r="J223" s="2">
        <v>45900</v>
      </c>
      <c r="K223" s="2">
        <v>45900</v>
      </c>
      <c r="L223">
        <v>223</v>
      </c>
      <c r="M223" t="s">
        <v>645</v>
      </c>
      <c r="N223" t="s">
        <v>747</v>
      </c>
    </row>
    <row r="224" spans="1:14" ht="16.5" x14ac:dyDescent="0.25">
      <c r="B224" s="4">
        <v>45881</v>
      </c>
      <c r="C224" t="s">
        <v>62</v>
      </c>
      <c r="D224" t="s">
        <v>161</v>
      </c>
      <c r="E224" t="s">
        <v>208</v>
      </c>
      <c r="F224" t="s">
        <v>417</v>
      </c>
      <c r="H224" t="s">
        <v>550</v>
      </c>
      <c r="I224" t="s">
        <v>567</v>
      </c>
      <c r="J224" s="2">
        <v>45900</v>
      </c>
      <c r="K224" s="2">
        <v>45900</v>
      </c>
      <c r="L224">
        <v>224</v>
      </c>
      <c r="M224" t="s">
        <v>645</v>
      </c>
      <c r="N224" t="s">
        <v>747</v>
      </c>
    </row>
    <row r="225" spans="1:14" ht="16.5" x14ac:dyDescent="0.25">
      <c r="A225" t="s">
        <v>0</v>
      </c>
      <c r="B225" s="4">
        <v>45887</v>
      </c>
      <c r="C225" t="s">
        <v>63</v>
      </c>
      <c r="D225" t="s">
        <v>162</v>
      </c>
      <c r="E225" t="s">
        <v>278</v>
      </c>
      <c r="F225" t="s">
        <v>418</v>
      </c>
      <c r="H225" t="s">
        <v>577</v>
      </c>
      <c r="I225" t="s">
        <v>565</v>
      </c>
      <c r="J225" s="2">
        <v>45900</v>
      </c>
      <c r="K225" s="2">
        <v>45907</v>
      </c>
      <c r="L225">
        <v>225</v>
      </c>
      <c r="M225" t="s">
        <v>646</v>
      </c>
      <c r="N225" t="s">
        <v>748</v>
      </c>
    </row>
    <row r="226" spans="1:14" ht="16.5" x14ac:dyDescent="0.25">
      <c r="A226" t="s">
        <v>0</v>
      </c>
      <c r="B226" s="4">
        <v>45887</v>
      </c>
      <c r="C226" t="s">
        <v>63</v>
      </c>
      <c r="D226" t="s">
        <v>162</v>
      </c>
      <c r="E226" t="s">
        <v>272</v>
      </c>
      <c r="F226" t="s">
        <v>418</v>
      </c>
      <c r="H226" t="s">
        <v>577</v>
      </c>
      <c r="I226" t="s">
        <v>565</v>
      </c>
      <c r="J226" s="2">
        <v>45900</v>
      </c>
      <c r="K226" s="2">
        <v>45907</v>
      </c>
      <c r="L226">
        <v>226</v>
      </c>
      <c r="M226" t="s">
        <v>646</v>
      </c>
      <c r="N226" t="s">
        <v>748</v>
      </c>
    </row>
    <row r="227" spans="1:14" ht="16.5" x14ac:dyDescent="0.25">
      <c r="B227" s="4">
        <v>45728</v>
      </c>
      <c r="C227" t="s">
        <v>22</v>
      </c>
      <c r="D227" t="s">
        <v>105</v>
      </c>
      <c r="E227" t="s">
        <v>221</v>
      </c>
      <c r="F227" t="s">
        <v>419</v>
      </c>
      <c r="H227" t="s">
        <v>550</v>
      </c>
      <c r="I227" t="s">
        <v>564</v>
      </c>
      <c r="J227" s="2">
        <v>45902</v>
      </c>
      <c r="K227" s="2">
        <v>45903</v>
      </c>
      <c r="L227">
        <v>227</v>
      </c>
      <c r="M227" t="s">
        <v>596</v>
      </c>
      <c r="N227" t="s">
        <v>694</v>
      </c>
    </row>
    <row r="228" spans="1:14" ht="16.5" x14ac:dyDescent="0.25">
      <c r="B228" s="4">
        <v>45728</v>
      </c>
      <c r="C228" t="s">
        <v>22</v>
      </c>
      <c r="D228" t="s">
        <v>105</v>
      </c>
      <c r="E228" t="s">
        <v>272</v>
      </c>
      <c r="F228" t="s">
        <v>419</v>
      </c>
      <c r="H228" t="s">
        <v>550</v>
      </c>
      <c r="I228" t="s">
        <v>564</v>
      </c>
      <c r="J228" s="2">
        <v>45902</v>
      </c>
      <c r="K228" s="2">
        <v>45903</v>
      </c>
      <c r="L228">
        <v>228</v>
      </c>
      <c r="M228" t="s">
        <v>596</v>
      </c>
      <c r="N228" t="s">
        <v>694</v>
      </c>
    </row>
    <row r="229" spans="1:14" ht="16.5" x14ac:dyDescent="0.25">
      <c r="B229" s="4">
        <v>45834</v>
      </c>
      <c r="C229" t="s">
        <v>18</v>
      </c>
      <c r="D229" t="s">
        <v>163</v>
      </c>
      <c r="E229" t="s">
        <v>279</v>
      </c>
      <c r="F229" t="s">
        <v>420</v>
      </c>
      <c r="H229" t="s">
        <v>550</v>
      </c>
      <c r="I229" t="s">
        <v>564</v>
      </c>
      <c r="J229" s="2">
        <v>45902</v>
      </c>
      <c r="K229" s="2">
        <v>45903</v>
      </c>
      <c r="L229">
        <v>229</v>
      </c>
      <c r="M229" t="s">
        <v>647</v>
      </c>
      <c r="N229" t="s">
        <v>749</v>
      </c>
    </row>
    <row r="230" spans="1:14" ht="16.5" x14ac:dyDescent="0.25">
      <c r="B230" s="4">
        <v>45834</v>
      </c>
      <c r="C230" t="s">
        <v>18</v>
      </c>
      <c r="D230" t="s">
        <v>163</v>
      </c>
      <c r="E230" t="s">
        <v>272</v>
      </c>
      <c r="F230" t="s">
        <v>420</v>
      </c>
      <c r="H230" t="s">
        <v>550</v>
      </c>
      <c r="I230" t="s">
        <v>564</v>
      </c>
      <c r="J230" s="2">
        <v>45902</v>
      </c>
      <c r="K230" s="2">
        <v>45903</v>
      </c>
      <c r="L230">
        <v>230</v>
      </c>
      <c r="M230" t="s">
        <v>647</v>
      </c>
      <c r="N230" t="s">
        <v>749</v>
      </c>
    </row>
    <row r="231" spans="1:14" ht="16.5" x14ac:dyDescent="0.25">
      <c r="B231" s="4">
        <v>45895</v>
      </c>
      <c r="C231" t="s">
        <v>64</v>
      </c>
      <c r="D231" t="s">
        <v>164</v>
      </c>
      <c r="E231" t="s">
        <v>280</v>
      </c>
      <c r="F231" t="s">
        <v>421</v>
      </c>
      <c r="H231" t="s">
        <v>550</v>
      </c>
      <c r="I231" t="s">
        <v>564</v>
      </c>
      <c r="J231" s="2">
        <v>45902</v>
      </c>
      <c r="K231" s="2">
        <v>45903</v>
      </c>
      <c r="L231">
        <v>231</v>
      </c>
      <c r="M231" t="s">
        <v>648</v>
      </c>
      <c r="N231" t="s">
        <v>750</v>
      </c>
    </row>
    <row r="232" spans="1:14" ht="16.5" x14ac:dyDescent="0.25">
      <c r="B232" s="4">
        <v>45895</v>
      </c>
      <c r="C232" t="s">
        <v>64</v>
      </c>
      <c r="D232" t="s">
        <v>164</v>
      </c>
      <c r="E232" t="s">
        <v>208</v>
      </c>
      <c r="F232" t="s">
        <v>421</v>
      </c>
      <c r="H232" t="s">
        <v>550</v>
      </c>
      <c r="I232" t="s">
        <v>564</v>
      </c>
      <c r="J232" s="2">
        <v>45902</v>
      </c>
      <c r="K232" s="2">
        <v>45903</v>
      </c>
      <c r="L232">
        <v>232</v>
      </c>
      <c r="M232" t="s">
        <v>648</v>
      </c>
      <c r="N232" t="s">
        <v>750</v>
      </c>
    </row>
    <row r="233" spans="1:14" ht="16.5" x14ac:dyDescent="0.25">
      <c r="B233" s="4">
        <v>45728</v>
      </c>
      <c r="C233" t="s">
        <v>22</v>
      </c>
      <c r="D233" t="s">
        <v>105</v>
      </c>
      <c r="E233" t="s">
        <v>221</v>
      </c>
      <c r="F233" t="s">
        <v>422</v>
      </c>
      <c r="H233" t="s">
        <v>550</v>
      </c>
      <c r="I233" t="s">
        <v>568</v>
      </c>
      <c r="J233" s="2">
        <v>45904</v>
      </c>
      <c r="K233" s="2">
        <v>45905</v>
      </c>
      <c r="L233">
        <v>233</v>
      </c>
      <c r="M233" t="s">
        <v>596</v>
      </c>
      <c r="N233" t="s">
        <v>694</v>
      </c>
    </row>
    <row r="234" spans="1:14" ht="16.5" x14ac:dyDescent="0.25">
      <c r="B234" s="4">
        <v>45728</v>
      </c>
      <c r="C234" t="s">
        <v>22</v>
      </c>
      <c r="D234" t="s">
        <v>105</v>
      </c>
      <c r="E234" t="s">
        <v>272</v>
      </c>
      <c r="F234" t="s">
        <v>422</v>
      </c>
      <c r="H234" t="s">
        <v>550</v>
      </c>
      <c r="I234" t="s">
        <v>568</v>
      </c>
      <c r="J234" s="2">
        <v>45904</v>
      </c>
      <c r="K234" s="2">
        <v>45905</v>
      </c>
      <c r="L234">
        <v>234</v>
      </c>
      <c r="M234" t="s">
        <v>596</v>
      </c>
      <c r="N234" t="s">
        <v>694</v>
      </c>
    </row>
    <row r="235" spans="1:14" ht="16.5" x14ac:dyDescent="0.25">
      <c r="B235" s="4">
        <v>45895</v>
      </c>
      <c r="C235" t="s">
        <v>64</v>
      </c>
      <c r="D235" t="s">
        <v>164</v>
      </c>
      <c r="E235" t="s">
        <v>280</v>
      </c>
      <c r="F235" t="s">
        <v>422</v>
      </c>
      <c r="H235" t="s">
        <v>550</v>
      </c>
      <c r="I235" t="s">
        <v>568</v>
      </c>
      <c r="J235" s="2">
        <v>45904</v>
      </c>
      <c r="K235" s="2">
        <v>45905</v>
      </c>
      <c r="L235">
        <v>235</v>
      </c>
      <c r="M235" t="s">
        <v>648</v>
      </c>
      <c r="N235" t="s">
        <v>750</v>
      </c>
    </row>
    <row r="236" spans="1:14" ht="16.5" x14ac:dyDescent="0.25">
      <c r="B236" s="4">
        <v>45895</v>
      </c>
      <c r="C236" t="s">
        <v>64</v>
      </c>
      <c r="D236" t="s">
        <v>164</v>
      </c>
      <c r="E236" t="s">
        <v>208</v>
      </c>
      <c r="F236" t="s">
        <v>422</v>
      </c>
      <c r="H236" t="s">
        <v>550</v>
      </c>
      <c r="I236" t="s">
        <v>568</v>
      </c>
      <c r="J236" s="2">
        <v>45904</v>
      </c>
      <c r="K236" s="2">
        <v>45905</v>
      </c>
      <c r="L236">
        <v>236</v>
      </c>
      <c r="M236" t="s">
        <v>648</v>
      </c>
      <c r="N236" t="s">
        <v>750</v>
      </c>
    </row>
    <row r="237" spans="1:14" ht="16.5" x14ac:dyDescent="0.25">
      <c r="A237" t="s">
        <v>1</v>
      </c>
      <c r="B237" s="4">
        <v>45728</v>
      </c>
      <c r="C237" t="s">
        <v>22</v>
      </c>
      <c r="D237" t="s">
        <v>105</v>
      </c>
      <c r="E237" t="s">
        <v>221</v>
      </c>
      <c r="F237" t="s">
        <v>423</v>
      </c>
      <c r="H237" t="s">
        <v>551</v>
      </c>
      <c r="I237" t="s">
        <v>568</v>
      </c>
      <c r="J237" s="2">
        <v>45906</v>
      </c>
      <c r="K237" s="2">
        <v>45908</v>
      </c>
      <c r="L237">
        <v>237</v>
      </c>
      <c r="M237" t="s">
        <v>596</v>
      </c>
      <c r="N237" t="s">
        <v>694</v>
      </c>
    </row>
    <row r="238" spans="1:14" ht="16.5" x14ac:dyDescent="0.25">
      <c r="A238" t="s">
        <v>2</v>
      </c>
      <c r="B238" s="4">
        <v>45728</v>
      </c>
      <c r="C238" t="s">
        <v>22</v>
      </c>
      <c r="D238" t="s">
        <v>105</v>
      </c>
      <c r="E238" t="s">
        <v>272</v>
      </c>
      <c r="F238" t="s">
        <v>423</v>
      </c>
      <c r="H238" t="s">
        <v>551</v>
      </c>
      <c r="I238" t="s">
        <v>567</v>
      </c>
      <c r="J238" s="2">
        <v>45906</v>
      </c>
      <c r="K238" s="2">
        <v>45908</v>
      </c>
      <c r="L238">
        <v>238</v>
      </c>
      <c r="M238" t="s">
        <v>596</v>
      </c>
      <c r="N238" t="s">
        <v>694</v>
      </c>
    </row>
    <row r="239" spans="1:14" ht="16.5" x14ac:dyDescent="0.25">
      <c r="B239" s="4">
        <v>45692</v>
      </c>
      <c r="C239" t="s">
        <v>32</v>
      </c>
      <c r="D239" t="s">
        <v>120</v>
      </c>
      <c r="E239" t="s">
        <v>235</v>
      </c>
      <c r="F239" t="s">
        <v>424</v>
      </c>
      <c r="H239" t="s">
        <v>551</v>
      </c>
      <c r="I239" t="s">
        <v>568</v>
      </c>
      <c r="J239" s="2">
        <v>45909</v>
      </c>
      <c r="K239" s="2">
        <v>45912</v>
      </c>
      <c r="L239">
        <v>239</v>
      </c>
      <c r="M239" t="s">
        <v>610</v>
      </c>
      <c r="N239" t="s">
        <v>708</v>
      </c>
    </row>
    <row r="240" spans="1:14" ht="16.5" x14ac:dyDescent="0.25">
      <c r="B240" s="4">
        <v>45692</v>
      </c>
      <c r="C240" t="s">
        <v>32</v>
      </c>
      <c r="D240" t="s">
        <v>120</v>
      </c>
      <c r="E240" t="s">
        <v>272</v>
      </c>
      <c r="F240" t="s">
        <v>424</v>
      </c>
      <c r="H240" t="s">
        <v>551</v>
      </c>
      <c r="I240" t="s">
        <v>568</v>
      </c>
      <c r="J240" s="2">
        <v>45909</v>
      </c>
      <c r="K240" s="2">
        <v>45912</v>
      </c>
      <c r="L240">
        <v>240</v>
      </c>
      <c r="M240" t="s">
        <v>610</v>
      </c>
      <c r="N240" t="s">
        <v>708</v>
      </c>
    </row>
    <row r="241" spans="1:14" ht="16.5" x14ac:dyDescent="0.25">
      <c r="B241" s="4">
        <v>45652</v>
      </c>
      <c r="C241" t="s">
        <v>6</v>
      </c>
      <c r="D241" t="s">
        <v>88</v>
      </c>
      <c r="E241" t="s">
        <v>204</v>
      </c>
      <c r="F241" t="s">
        <v>425</v>
      </c>
      <c r="H241" t="s">
        <v>551</v>
      </c>
      <c r="I241" t="s">
        <v>568</v>
      </c>
      <c r="J241" s="2">
        <v>45910</v>
      </c>
      <c r="K241" s="2">
        <v>45910</v>
      </c>
      <c r="L241">
        <v>241</v>
      </c>
      <c r="M241" t="s">
        <v>581</v>
      </c>
      <c r="N241" t="s">
        <v>679</v>
      </c>
    </row>
    <row r="242" spans="1:14" ht="16.5" x14ac:dyDescent="0.25">
      <c r="B242" s="4">
        <v>45652</v>
      </c>
      <c r="C242" t="s">
        <v>6</v>
      </c>
      <c r="D242" t="s">
        <v>88</v>
      </c>
      <c r="E242" t="s">
        <v>272</v>
      </c>
      <c r="F242" t="s">
        <v>425</v>
      </c>
      <c r="H242" t="s">
        <v>551</v>
      </c>
      <c r="I242" t="s">
        <v>568</v>
      </c>
      <c r="J242" s="2">
        <v>45910</v>
      </c>
      <c r="K242" s="2">
        <v>45910</v>
      </c>
      <c r="L242">
        <v>242</v>
      </c>
      <c r="M242" t="s">
        <v>581</v>
      </c>
      <c r="N242" t="s">
        <v>679</v>
      </c>
    </row>
    <row r="243" spans="1:14" ht="16.5" x14ac:dyDescent="0.25">
      <c r="B243" s="4">
        <v>45692</v>
      </c>
      <c r="C243" t="s">
        <v>11</v>
      </c>
      <c r="D243" t="s">
        <v>106</v>
      </c>
      <c r="E243" t="s">
        <v>223</v>
      </c>
      <c r="F243" t="s">
        <v>426</v>
      </c>
      <c r="H243" t="s">
        <v>551</v>
      </c>
      <c r="I243" t="s">
        <v>568</v>
      </c>
      <c r="J243" s="2">
        <v>45909</v>
      </c>
      <c r="K243" s="2">
        <v>45912</v>
      </c>
      <c r="L243">
        <v>243</v>
      </c>
      <c r="M243" t="s">
        <v>597</v>
      </c>
      <c r="N243" t="s">
        <v>696</v>
      </c>
    </row>
    <row r="244" spans="1:14" ht="16.5" x14ac:dyDescent="0.25">
      <c r="B244" s="4">
        <v>45692</v>
      </c>
      <c r="C244" t="s">
        <v>11</v>
      </c>
      <c r="D244" t="s">
        <v>106</v>
      </c>
      <c r="E244" t="s">
        <v>272</v>
      </c>
      <c r="F244" t="s">
        <v>426</v>
      </c>
      <c r="H244" t="s">
        <v>551</v>
      </c>
      <c r="I244" t="s">
        <v>568</v>
      </c>
      <c r="J244" s="2">
        <v>45909</v>
      </c>
      <c r="K244" s="2">
        <v>45912</v>
      </c>
      <c r="L244">
        <v>244</v>
      </c>
      <c r="M244" t="s">
        <v>597</v>
      </c>
      <c r="N244" t="s">
        <v>696</v>
      </c>
    </row>
    <row r="245" spans="1:14" ht="16.5" x14ac:dyDescent="0.25">
      <c r="B245" s="4">
        <v>45728</v>
      </c>
      <c r="C245" t="s">
        <v>22</v>
      </c>
      <c r="D245" t="s">
        <v>105</v>
      </c>
      <c r="E245" t="s">
        <v>221</v>
      </c>
      <c r="F245" t="s">
        <v>425</v>
      </c>
      <c r="H245" t="s">
        <v>551</v>
      </c>
      <c r="I245" t="s">
        <v>568</v>
      </c>
      <c r="J245" s="2">
        <v>45909</v>
      </c>
      <c r="K245" s="2">
        <v>45912</v>
      </c>
      <c r="L245">
        <v>245</v>
      </c>
      <c r="M245" t="s">
        <v>596</v>
      </c>
      <c r="N245" t="s">
        <v>694</v>
      </c>
    </row>
    <row r="246" spans="1:14" ht="16.5" x14ac:dyDescent="0.25">
      <c r="B246" s="4">
        <v>45728</v>
      </c>
      <c r="C246" t="s">
        <v>22</v>
      </c>
      <c r="D246" t="s">
        <v>105</v>
      </c>
      <c r="E246" t="s">
        <v>272</v>
      </c>
      <c r="F246" t="s">
        <v>425</v>
      </c>
      <c r="H246" t="s">
        <v>551</v>
      </c>
      <c r="I246" t="s">
        <v>568</v>
      </c>
      <c r="J246" s="2">
        <v>45909</v>
      </c>
      <c r="K246" s="2">
        <v>45912</v>
      </c>
      <c r="L246">
        <v>246</v>
      </c>
      <c r="M246" t="s">
        <v>596</v>
      </c>
      <c r="N246" t="s">
        <v>694</v>
      </c>
    </row>
    <row r="247" spans="1:14" ht="16.5" x14ac:dyDescent="0.25">
      <c r="B247" s="4">
        <v>45875</v>
      </c>
      <c r="C247" t="s">
        <v>27</v>
      </c>
      <c r="D247" t="s">
        <v>165</v>
      </c>
      <c r="E247" t="s">
        <v>281</v>
      </c>
      <c r="F247" t="s">
        <v>427</v>
      </c>
      <c r="H247" t="s">
        <v>551</v>
      </c>
      <c r="I247" t="s">
        <v>568</v>
      </c>
      <c r="J247" s="2">
        <v>45909</v>
      </c>
      <c r="K247" s="2">
        <v>45912</v>
      </c>
      <c r="L247">
        <v>247</v>
      </c>
      <c r="M247" t="s">
        <v>596</v>
      </c>
      <c r="N247" t="s">
        <v>751</v>
      </c>
    </row>
    <row r="248" spans="1:14" ht="16.5" x14ac:dyDescent="0.25">
      <c r="A248" t="s">
        <v>2</v>
      </c>
      <c r="B248" s="4">
        <v>45875</v>
      </c>
      <c r="C248" t="s">
        <v>27</v>
      </c>
      <c r="D248" t="s">
        <v>165</v>
      </c>
      <c r="E248" t="s">
        <v>272</v>
      </c>
      <c r="F248" t="s">
        <v>427</v>
      </c>
      <c r="H248" t="s">
        <v>551</v>
      </c>
      <c r="I248" t="s">
        <v>568</v>
      </c>
      <c r="J248" s="2">
        <v>45909</v>
      </c>
      <c r="K248" s="2">
        <v>45912</v>
      </c>
      <c r="L248">
        <v>248</v>
      </c>
      <c r="M248" t="s">
        <v>596</v>
      </c>
      <c r="N248" t="s">
        <v>751</v>
      </c>
    </row>
    <row r="249" spans="1:14" ht="16.5" x14ac:dyDescent="0.25">
      <c r="B249" s="4">
        <v>45722</v>
      </c>
      <c r="C249" t="s">
        <v>18</v>
      </c>
      <c r="D249" t="s">
        <v>166</v>
      </c>
      <c r="E249" t="s">
        <v>282</v>
      </c>
      <c r="F249" t="s">
        <v>428</v>
      </c>
      <c r="H249" t="s">
        <v>551</v>
      </c>
      <c r="I249" t="s">
        <v>566</v>
      </c>
      <c r="J249" s="2">
        <v>45913</v>
      </c>
      <c r="K249" s="2">
        <v>45914</v>
      </c>
      <c r="L249">
        <v>249</v>
      </c>
      <c r="M249" t="s">
        <v>649</v>
      </c>
      <c r="N249" t="s">
        <v>752</v>
      </c>
    </row>
    <row r="250" spans="1:14" ht="16.5" x14ac:dyDescent="0.25">
      <c r="B250" s="4">
        <v>45722</v>
      </c>
      <c r="C250" t="s">
        <v>18</v>
      </c>
      <c r="D250" t="s">
        <v>166</v>
      </c>
      <c r="E250" t="s">
        <v>208</v>
      </c>
      <c r="F250" t="s">
        <v>428</v>
      </c>
      <c r="H250" t="s">
        <v>551</v>
      </c>
      <c r="I250" t="s">
        <v>566</v>
      </c>
      <c r="J250" s="2">
        <v>45913</v>
      </c>
      <c r="K250" s="2">
        <v>45914</v>
      </c>
      <c r="L250">
        <v>250</v>
      </c>
      <c r="M250" t="s">
        <v>649</v>
      </c>
      <c r="N250" t="s">
        <v>752</v>
      </c>
    </row>
    <row r="251" spans="1:14" ht="16.5" x14ac:dyDescent="0.25">
      <c r="B251" s="4">
        <v>45912</v>
      </c>
      <c r="C251" t="s">
        <v>11</v>
      </c>
      <c r="D251" t="s">
        <v>167</v>
      </c>
      <c r="E251" t="s">
        <v>283</v>
      </c>
      <c r="F251" t="s">
        <v>429</v>
      </c>
      <c r="H251" t="s">
        <v>552</v>
      </c>
      <c r="I251" t="s">
        <v>570</v>
      </c>
      <c r="J251" s="2">
        <v>45915</v>
      </c>
      <c r="K251" s="2">
        <v>45916</v>
      </c>
      <c r="L251">
        <v>251</v>
      </c>
      <c r="M251" t="s">
        <v>597</v>
      </c>
      <c r="N251" t="s">
        <v>753</v>
      </c>
    </row>
    <row r="252" spans="1:14" ht="16.5" x14ac:dyDescent="0.25">
      <c r="B252" s="4">
        <v>45912</v>
      </c>
      <c r="C252" t="s">
        <v>11</v>
      </c>
      <c r="D252" t="s">
        <v>167</v>
      </c>
      <c r="E252" t="s">
        <v>272</v>
      </c>
      <c r="F252" t="s">
        <v>429</v>
      </c>
      <c r="H252" t="s">
        <v>552</v>
      </c>
      <c r="I252" t="s">
        <v>570</v>
      </c>
      <c r="J252" s="2">
        <v>45915</v>
      </c>
      <c r="K252" s="2">
        <v>45916</v>
      </c>
      <c r="L252">
        <v>252</v>
      </c>
      <c r="M252" t="s">
        <v>597</v>
      </c>
      <c r="N252" t="s">
        <v>753</v>
      </c>
    </row>
    <row r="253" spans="1:14" ht="16.5" x14ac:dyDescent="0.25">
      <c r="A253" t="s">
        <v>0</v>
      </c>
      <c r="B253" s="4">
        <v>45832</v>
      </c>
      <c r="C253" t="s">
        <v>65</v>
      </c>
      <c r="D253" t="s">
        <v>168</v>
      </c>
      <c r="E253" t="s">
        <v>284</v>
      </c>
      <c r="F253" t="s">
        <v>430</v>
      </c>
      <c r="H253" t="s">
        <v>577</v>
      </c>
      <c r="I253" t="s">
        <v>565</v>
      </c>
      <c r="J253" s="2">
        <v>45916</v>
      </c>
      <c r="K253" s="2">
        <v>45916</v>
      </c>
      <c r="L253">
        <v>253</v>
      </c>
      <c r="M253" t="s">
        <v>650</v>
      </c>
      <c r="N253" t="s">
        <v>754</v>
      </c>
    </row>
    <row r="254" spans="1:14" ht="16.5" x14ac:dyDescent="0.25">
      <c r="A254" t="s">
        <v>0</v>
      </c>
      <c r="B254" s="4">
        <v>45832</v>
      </c>
      <c r="C254" t="s">
        <v>65</v>
      </c>
      <c r="D254" t="s">
        <v>168</v>
      </c>
      <c r="E254" t="s">
        <v>203</v>
      </c>
      <c r="F254" t="s">
        <v>430</v>
      </c>
      <c r="H254" t="s">
        <v>577</v>
      </c>
      <c r="I254" t="s">
        <v>565</v>
      </c>
      <c r="J254" s="2">
        <v>45916</v>
      </c>
      <c r="K254" s="2">
        <v>45916</v>
      </c>
      <c r="L254">
        <v>254</v>
      </c>
      <c r="M254" t="s">
        <v>650</v>
      </c>
      <c r="N254" t="s">
        <v>754</v>
      </c>
    </row>
    <row r="255" spans="1:14" ht="16.5" x14ac:dyDescent="0.25">
      <c r="B255" s="4">
        <v>45693</v>
      </c>
      <c r="C255" t="s">
        <v>13</v>
      </c>
      <c r="D255" t="s">
        <v>90</v>
      </c>
      <c r="E255" t="s">
        <v>206</v>
      </c>
      <c r="F255" t="s">
        <v>431</v>
      </c>
      <c r="H255" t="s">
        <v>553</v>
      </c>
      <c r="I255" t="s">
        <v>567</v>
      </c>
      <c r="J255" s="2">
        <v>45917</v>
      </c>
      <c r="K255" s="2">
        <v>45918</v>
      </c>
      <c r="L255">
        <v>255</v>
      </c>
      <c r="M255" t="s">
        <v>583</v>
      </c>
      <c r="N255" t="s">
        <v>681</v>
      </c>
    </row>
    <row r="256" spans="1:14" ht="16.5" x14ac:dyDescent="0.25">
      <c r="B256" s="4">
        <v>45693</v>
      </c>
      <c r="C256" t="s">
        <v>13</v>
      </c>
      <c r="D256" t="s">
        <v>90</v>
      </c>
      <c r="E256" t="s">
        <v>272</v>
      </c>
      <c r="F256" t="s">
        <v>431</v>
      </c>
      <c r="H256" t="s">
        <v>553</v>
      </c>
      <c r="I256" t="s">
        <v>567</v>
      </c>
      <c r="J256" s="2">
        <v>45917</v>
      </c>
      <c r="K256" s="2">
        <v>45918</v>
      </c>
      <c r="L256">
        <v>256</v>
      </c>
      <c r="M256" t="s">
        <v>583</v>
      </c>
      <c r="N256" t="s">
        <v>681</v>
      </c>
    </row>
    <row r="257" spans="2:14" ht="16.5" x14ac:dyDescent="0.25">
      <c r="B257" s="4">
        <v>45855</v>
      </c>
      <c r="C257" t="s">
        <v>31</v>
      </c>
      <c r="D257" t="s">
        <v>169</v>
      </c>
      <c r="E257" t="s">
        <v>285</v>
      </c>
      <c r="F257" t="s">
        <v>431</v>
      </c>
      <c r="H257" t="s">
        <v>553</v>
      </c>
      <c r="I257" t="s">
        <v>567</v>
      </c>
      <c r="J257" s="2">
        <v>45917</v>
      </c>
      <c r="K257" s="2">
        <v>45918</v>
      </c>
      <c r="L257">
        <v>257</v>
      </c>
      <c r="M257" t="s">
        <v>651</v>
      </c>
      <c r="N257" t="s">
        <v>755</v>
      </c>
    </row>
    <row r="258" spans="2:14" ht="16.5" x14ac:dyDescent="0.25">
      <c r="B258" s="4">
        <v>45855</v>
      </c>
      <c r="C258" t="s">
        <v>31</v>
      </c>
      <c r="D258" t="s">
        <v>169</v>
      </c>
      <c r="E258" t="s">
        <v>272</v>
      </c>
      <c r="F258" t="s">
        <v>431</v>
      </c>
      <c r="H258" t="s">
        <v>553</v>
      </c>
      <c r="I258" t="s">
        <v>567</v>
      </c>
      <c r="J258" s="2">
        <v>45917</v>
      </c>
      <c r="K258" s="2">
        <v>45918</v>
      </c>
      <c r="L258">
        <v>258</v>
      </c>
      <c r="M258" t="s">
        <v>651</v>
      </c>
      <c r="N258" t="s">
        <v>755</v>
      </c>
    </row>
    <row r="259" spans="2:14" ht="16.5" x14ac:dyDescent="0.25">
      <c r="B259" s="4">
        <v>45859</v>
      </c>
      <c r="C259" t="s">
        <v>18</v>
      </c>
      <c r="D259" t="s">
        <v>101</v>
      </c>
      <c r="E259" t="s">
        <v>286</v>
      </c>
      <c r="F259" t="s">
        <v>431</v>
      </c>
      <c r="H259" t="s">
        <v>553</v>
      </c>
      <c r="I259" t="s">
        <v>567</v>
      </c>
      <c r="J259" s="2">
        <v>45917</v>
      </c>
      <c r="K259" s="2">
        <v>45918</v>
      </c>
      <c r="L259">
        <v>259</v>
      </c>
      <c r="M259" t="s">
        <v>592</v>
      </c>
      <c r="N259" t="s">
        <v>756</v>
      </c>
    </row>
    <row r="260" spans="2:14" ht="16.5" x14ac:dyDescent="0.25">
      <c r="B260" s="4">
        <v>45859</v>
      </c>
      <c r="C260" t="s">
        <v>18</v>
      </c>
      <c r="D260" t="s">
        <v>101</v>
      </c>
      <c r="E260" t="s">
        <v>272</v>
      </c>
      <c r="F260" t="s">
        <v>431</v>
      </c>
      <c r="H260" t="s">
        <v>553</v>
      </c>
      <c r="I260" t="s">
        <v>567</v>
      </c>
      <c r="J260" s="2">
        <v>45917</v>
      </c>
      <c r="K260" s="2">
        <v>45918</v>
      </c>
      <c r="L260">
        <v>260</v>
      </c>
      <c r="M260" t="s">
        <v>592</v>
      </c>
      <c r="N260" t="s">
        <v>756</v>
      </c>
    </row>
    <row r="261" spans="2:14" ht="16.5" x14ac:dyDescent="0.25">
      <c r="B261" s="4">
        <v>45727</v>
      </c>
      <c r="C261" t="s">
        <v>18</v>
      </c>
      <c r="D261" t="s">
        <v>101</v>
      </c>
      <c r="E261" t="s">
        <v>217</v>
      </c>
      <c r="F261" t="s">
        <v>432</v>
      </c>
      <c r="H261" t="s">
        <v>553</v>
      </c>
      <c r="I261" t="s">
        <v>567</v>
      </c>
      <c r="J261" s="2">
        <v>45917</v>
      </c>
      <c r="K261" s="2">
        <v>45918</v>
      </c>
      <c r="L261">
        <v>261</v>
      </c>
      <c r="M261" t="s">
        <v>592</v>
      </c>
      <c r="N261" t="s">
        <v>690</v>
      </c>
    </row>
    <row r="262" spans="2:14" ht="16.5" x14ac:dyDescent="0.25">
      <c r="B262" s="4">
        <v>45727</v>
      </c>
      <c r="C262" t="s">
        <v>18</v>
      </c>
      <c r="D262" t="s">
        <v>101</v>
      </c>
      <c r="E262" t="s">
        <v>208</v>
      </c>
      <c r="F262" t="s">
        <v>432</v>
      </c>
      <c r="H262" t="s">
        <v>553</v>
      </c>
      <c r="I262" t="s">
        <v>567</v>
      </c>
      <c r="J262" s="2">
        <v>45917</v>
      </c>
      <c r="K262" s="2">
        <v>45918</v>
      </c>
      <c r="L262">
        <v>262</v>
      </c>
      <c r="M262" t="s">
        <v>592</v>
      </c>
      <c r="N262" t="s">
        <v>690</v>
      </c>
    </row>
    <row r="263" spans="2:14" ht="16.5" x14ac:dyDescent="0.25">
      <c r="B263" s="4">
        <v>45895</v>
      </c>
      <c r="C263" t="s">
        <v>64</v>
      </c>
      <c r="D263" t="s">
        <v>164</v>
      </c>
      <c r="E263" t="s">
        <v>280</v>
      </c>
      <c r="F263" t="s">
        <v>432</v>
      </c>
      <c r="H263" t="s">
        <v>553</v>
      </c>
      <c r="I263" t="s">
        <v>567</v>
      </c>
      <c r="J263" s="2">
        <v>45917</v>
      </c>
      <c r="K263" s="2">
        <v>45918</v>
      </c>
      <c r="L263">
        <v>263</v>
      </c>
      <c r="M263" t="s">
        <v>648</v>
      </c>
      <c r="N263" t="s">
        <v>750</v>
      </c>
    </row>
    <row r="264" spans="2:14" ht="16.5" x14ac:dyDescent="0.25">
      <c r="B264" s="4">
        <v>45895</v>
      </c>
      <c r="C264" t="s">
        <v>64</v>
      </c>
      <c r="D264" t="s">
        <v>164</v>
      </c>
      <c r="E264" t="s">
        <v>272</v>
      </c>
      <c r="F264" t="s">
        <v>432</v>
      </c>
      <c r="H264" t="s">
        <v>553</v>
      </c>
      <c r="I264" t="s">
        <v>567</v>
      </c>
      <c r="J264" s="2">
        <v>45917</v>
      </c>
      <c r="K264" s="2">
        <v>45918</v>
      </c>
      <c r="L264">
        <v>264</v>
      </c>
      <c r="M264" t="s">
        <v>648</v>
      </c>
      <c r="N264" t="s">
        <v>750</v>
      </c>
    </row>
    <row r="265" spans="2:14" ht="16.5" x14ac:dyDescent="0.25">
      <c r="B265" s="4">
        <v>45908</v>
      </c>
      <c r="C265" t="s">
        <v>19</v>
      </c>
      <c r="D265" t="s">
        <v>170</v>
      </c>
      <c r="E265" t="s">
        <v>287</v>
      </c>
      <c r="F265" t="s">
        <v>432</v>
      </c>
      <c r="H265" t="s">
        <v>553</v>
      </c>
      <c r="I265" t="s">
        <v>567</v>
      </c>
      <c r="J265" s="2">
        <v>45917</v>
      </c>
      <c r="K265" s="2">
        <v>45918</v>
      </c>
      <c r="L265">
        <v>265</v>
      </c>
      <c r="M265" t="s">
        <v>652</v>
      </c>
      <c r="N265" t="s">
        <v>757</v>
      </c>
    </row>
    <row r="266" spans="2:14" ht="16.5" x14ac:dyDescent="0.25">
      <c r="B266" s="4">
        <v>45908</v>
      </c>
      <c r="C266" t="s">
        <v>19</v>
      </c>
      <c r="D266" t="s">
        <v>170</v>
      </c>
      <c r="E266" t="s">
        <v>208</v>
      </c>
      <c r="F266" t="s">
        <v>432</v>
      </c>
      <c r="H266" t="s">
        <v>553</v>
      </c>
      <c r="I266" t="s">
        <v>567</v>
      </c>
      <c r="J266" s="2">
        <v>45917</v>
      </c>
      <c r="K266" s="2">
        <v>45918</v>
      </c>
      <c r="L266">
        <v>266</v>
      </c>
      <c r="M266" t="s">
        <v>652</v>
      </c>
      <c r="N266" t="s">
        <v>757</v>
      </c>
    </row>
    <row r="267" spans="2:14" ht="16.5" x14ac:dyDescent="0.25">
      <c r="B267" s="4">
        <v>45905</v>
      </c>
      <c r="C267" t="s">
        <v>18</v>
      </c>
      <c r="D267" t="s">
        <v>171</v>
      </c>
      <c r="E267" t="s">
        <v>288</v>
      </c>
      <c r="F267" t="s">
        <v>433</v>
      </c>
      <c r="H267" t="s">
        <v>553</v>
      </c>
      <c r="I267" t="s">
        <v>567</v>
      </c>
      <c r="J267" s="2">
        <v>45917</v>
      </c>
      <c r="K267" s="2">
        <v>45918</v>
      </c>
      <c r="L267">
        <v>267</v>
      </c>
      <c r="M267" t="s">
        <v>653</v>
      </c>
      <c r="N267" t="s">
        <v>758</v>
      </c>
    </row>
    <row r="268" spans="2:14" ht="16.5" x14ac:dyDescent="0.25">
      <c r="B268" s="4">
        <v>45905</v>
      </c>
      <c r="C268" t="s">
        <v>18</v>
      </c>
      <c r="D268" t="s">
        <v>171</v>
      </c>
      <c r="E268" t="s">
        <v>272</v>
      </c>
      <c r="F268" t="s">
        <v>433</v>
      </c>
      <c r="H268" t="s">
        <v>553</v>
      </c>
      <c r="I268" t="s">
        <v>567</v>
      </c>
      <c r="J268" s="2">
        <v>45917</v>
      </c>
      <c r="K268" s="2">
        <v>45918</v>
      </c>
      <c r="L268">
        <v>268</v>
      </c>
      <c r="M268" t="s">
        <v>653</v>
      </c>
      <c r="N268" t="s">
        <v>758</v>
      </c>
    </row>
    <row r="269" spans="2:14" ht="16.5" x14ac:dyDescent="0.25">
      <c r="B269" s="4">
        <v>45728</v>
      </c>
      <c r="C269" t="s">
        <v>22</v>
      </c>
      <c r="D269" t="s">
        <v>105</v>
      </c>
      <c r="E269" t="s">
        <v>221</v>
      </c>
      <c r="F269" t="s">
        <v>434</v>
      </c>
      <c r="H269" t="s">
        <v>553</v>
      </c>
      <c r="I269" t="s">
        <v>568</v>
      </c>
      <c r="J269" s="2">
        <v>45919</v>
      </c>
      <c r="K269" s="2">
        <v>45920</v>
      </c>
      <c r="L269">
        <v>269</v>
      </c>
      <c r="M269" t="s">
        <v>596</v>
      </c>
      <c r="N269" t="s">
        <v>694</v>
      </c>
    </row>
    <row r="270" spans="2:14" ht="16.5" x14ac:dyDescent="0.25">
      <c r="B270" s="4">
        <v>45728</v>
      </c>
      <c r="C270" t="s">
        <v>22</v>
      </c>
      <c r="D270" t="s">
        <v>105</v>
      </c>
      <c r="E270" t="s">
        <v>272</v>
      </c>
      <c r="F270" t="s">
        <v>434</v>
      </c>
      <c r="H270" t="s">
        <v>553</v>
      </c>
      <c r="I270" t="s">
        <v>568</v>
      </c>
      <c r="J270" s="2">
        <v>45919</v>
      </c>
      <c r="K270" s="2">
        <v>45920</v>
      </c>
      <c r="L270">
        <v>270</v>
      </c>
      <c r="M270" t="s">
        <v>596</v>
      </c>
      <c r="N270" t="s">
        <v>694</v>
      </c>
    </row>
    <row r="271" spans="2:14" ht="16.5" x14ac:dyDescent="0.25">
      <c r="B271" s="4">
        <v>45895</v>
      </c>
      <c r="C271" t="s">
        <v>64</v>
      </c>
      <c r="D271" t="s">
        <v>164</v>
      </c>
      <c r="E271" t="s">
        <v>280</v>
      </c>
      <c r="F271" t="s">
        <v>434</v>
      </c>
      <c r="H271" t="s">
        <v>553</v>
      </c>
      <c r="I271" t="s">
        <v>568</v>
      </c>
      <c r="J271" s="2">
        <v>45919</v>
      </c>
      <c r="K271" s="2">
        <v>45920</v>
      </c>
      <c r="L271">
        <v>271</v>
      </c>
      <c r="M271" t="s">
        <v>648</v>
      </c>
      <c r="N271" t="s">
        <v>750</v>
      </c>
    </row>
    <row r="272" spans="2:14" ht="16.5" x14ac:dyDescent="0.25">
      <c r="B272" s="4">
        <v>45895</v>
      </c>
      <c r="C272" t="s">
        <v>64</v>
      </c>
      <c r="D272" t="s">
        <v>164</v>
      </c>
      <c r="E272" t="s">
        <v>272</v>
      </c>
      <c r="F272" t="s">
        <v>434</v>
      </c>
      <c r="H272" t="s">
        <v>553</v>
      </c>
      <c r="I272" t="s">
        <v>568</v>
      </c>
      <c r="J272" s="2">
        <v>45919</v>
      </c>
      <c r="K272" s="2">
        <v>45920</v>
      </c>
      <c r="L272">
        <v>272</v>
      </c>
      <c r="M272" t="s">
        <v>648</v>
      </c>
      <c r="N272" t="s">
        <v>750</v>
      </c>
    </row>
    <row r="273" spans="1:14" ht="16.5" x14ac:dyDescent="0.25">
      <c r="B273" s="4">
        <v>45692</v>
      </c>
      <c r="C273" t="s">
        <v>11</v>
      </c>
      <c r="D273" t="s">
        <v>106</v>
      </c>
      <c r="E273" t="s">
        <v>223</v>
      </c>
      <c r="F273" t="s">
        <v>435</v>
      </c>
      <c r="H273" t="s">
        <v>553</v>
      </c>
      <c r="I273" t="s">
        <v>564</v>
      </c>
      <c r="J273" s="2">
        <v>45921</v>
      </c>
      <c r="K273" s="2">
        <v>45922</v>
      </c>
      <c r="L273">
        <v>273</v>
      </c>
      <c r="M273" t="s">
        <v>597</v>
      </c>
      <c r="N273" t="s">
        <v>696</v>
      </c>
    </row>
    <row r="274" spans="1:14" ht="16.5" x14ac:dyDescent="0.25">
      <c r="B274" s="4">
        <v>45692</v>
      </c>
      <c r="C274" t="s">
        <v>11</v>
      </c>
      <c r="D274" t="s">
        <v>106</v>
      </c>
      <c r="E274" t="s">
        <v>272</v>
      </c>
      <c r="F274" t="s">
        <v>435</v>
      </c>
      <c r="H274" t="s">
        <v>553</v>
      </c>
      <c r="I274" t="s">
        <v>564</v>
      </c>
      <c r="J274" s="2">
        <v>45921</v>
      </c>
      <c r="K274" s="2">
        <v>45922</v>
      </c>
      <c r="L274">
        <v>274</v>
      </c>
      <c r="M274" t="s">
        <v>597</v>
      </c>
      <c r="N274" t="s">
        <v>696</v>
      </c>
    </row>
    <row r="275" spans="1:14" ht="16.5" x14ac:dyDescent="0.25">
      <c r="B275" s="4">
        <v>45707</v>
      </c>
      <c r="C275" t="s">
        <v>31</v>
      </c>
      <c r="D275" t="s">
        <v>172</v>
      </c>
      <c r="E275" t="s">
        <v>289</v>
      </c>
      <c r="F275" t="s">
        <v>436</v>
      </c>
      <c r="H275" t="s">
        <v>554</v>
      </c>
      <c r="I275" t="s">
        <v>564</v>
      </c>
      <c r="J275" s="2">
        <v>45921</v>
      </c>
      <c r="K275" s="2">
        <v>45922</v>
      </c>
      <c r="L275">
        <v>275</v>
      </c>
      <c r="M275" t="s">
        <v>654</v>
      </c>
      <c r="N275" t="s">
        <v>759</v>
      </c>
    </row>
    <row r="276" spans="1:14" ht="16.5" x14ac:dyDescent="0.25">
      <c r="B276" s="4">
        <v>45707</v>
      </c>
      <c r="C276" t="s">
        <v>31</v>
      </c>
      <c r="D276" t="s">
        <v>172</v>
      </c>
      <c r="E276" t="s">
        <v>272</v>
      </c>
      <c r="F276" t="s">
        <v>436</v>
      </c>
      <c r="H276" t="s">
        <v>554</v>
      </c>
      <c r="I276" t="s">
        <v>564</v>
      </c>
      <c r="J276" s="2">
        <v>45921</v>
      </c>
      <c r="K276" s="2">
        <v>45922</v>
      </c>
      <c r="L276">
        <v>276</v>
      </c>
      <c r="M276" t="s">
        <v>654</v>
      </c>
      <c r="N276" t="s">
        <v>759</v>
      </c>
    </row>
    <row r="277" spans="1:14" ht="16.5" x14ac:dyDescent="0.25">
      <c r="A277" t="s">
        <v>0</v>
      </c>
      <c r="B277" s="4">
        <v>45918</v>
      </c>
      <c r="C277" t="s">
        <v>66</v>
      </c>
      <c r="D277" t="s">
        <v>173</v>
      </c>
      <c r="E277" t="s">
        <v>290</v>
      </c>
      <c r="F277" t="s">
        <v>437</v>
      </c>
      <c r="H277" t="s">
        <v>577</v>
      </c>
      <c r="I277" t="s">
        <v>565</v>
      </c>
      <c r="J277" s="2">
        <v>45923</v>
      </c>
      <c r="K277" s="2">
        <v>45923</v>
      </c>
      <c r="L277">
        <v>277</v>
      </c>
      <c r="M277" t="s">
        <v>655</v>
      </c>
      <c r="N277" t="s">
        <v>760</v>
      </c>
    </row>
    <row r="278" spans="1:14" ht="16.5" x14ac:dyDescent="0.25">
      <c r="A278" t="s">
        <v>0</v>
      </c>
      <c r="B278" s="4">
        <v>45918</v>
      </c>
      <c r="C278" t="s">
        <v>66</v>
      </c>
      <c r="D278" t="s">
        <v>173</v>
      </c>
      <c r="E278" t="s">
        <v>203</v>
      </c>
      <c r="F278" t="s">
        <v>437</v>
      </c>
      <c r="H278" t="s">
        <v>577</v>
      </c>
      <c r="I278" t="s">
        <v>565</v>
      </c>
      <c r="J278" s="2">
        <v>45923</v>
      </c>
      <c r="K278" s="2">
        <v>45923</v>
      </c>
      <c r="L278">
        <v>278</v>
      </c>
      <c r="M278" t="s">
        <v>655</v>
      </c>
      <c r="N278" t="s">
        <v>760</v>
      </c>
    </row>
    <row r="279" spans="1:14" ht="16.5" x14ac:dyDescent="0.25">
      <c r="B279" s="4">
        <v>45693</v>
      </c>
      <c r="C279" t="s">
        <v>13</v>
      </c>
      <c r="D279" t="s">
        <v>90</v>
      </c>
      <c r="E279" t="s">
        <v>206</v>
      </c>
      <c r="F279" t="s">
        <v>438</v>
      </c>
      <c r="H279" t="s">
        <v>553</v>
      </c>
      <c r="I279" t="s">
        <v>566</v>
      </c>
      <c r="J279" s="2">
        <v>45923</v>
      </c>
      <c r="K279" s="2">
        <v>45926</v>
      </c>
      <c r="L279">
        <v>279</v>
      </c>
      <c r="M279" t="s">
        <v>583</v>
      </c>
      <c r="N279" t="s">
        <v>681</v>
      </c>
    </row>
    <row r="280" spans="1:14" ht="16.5" x14ac:dyDescent="0.25">
      <c r="B280" s="4">
        <v>45693</v>
      </c>
      <c r="C280" t="s">
        <v>13</v>
      </c>
      <c r="D280" t="s">
        <v>90</v>
      </c>
      <c r="E280" t="s">
        <v>272</v>
      </c>
      <c r="F280" t="s">
        <v>438</v>
      </c>
      <c r="H280" t="s">
        <v>553</v>
      </c>
      <c r="I280" t="s">
        <v>566</v>
      </c>
      <c r="J280" s="2">
        <v>45923</v>
      </c>
      <c r="K280" s="2">
        <v>45926</v>
      </c>
      <c r="L280">
        <v>280</v>
      </c>
      <c r="M280" t="s">
        <v>583</v>
      </c>
      <c r="N280" t="s">
        <v>681</v>
      </c>
    </row>
    <row r="281" spans="1:14" ht="16.5" x14ac:dyDescent="0.25">
      <c r="B281" s="4">
        <v>45895</v>
      </c>
      <c r="C281" t="s">
        <v>64</v>
      </c>
      <c r="D281" t="s">
        <v>164</v>
      </c>
      <c r="E281" t="s">
        <v>280</v>
      </c>
      <c r="F281" t="s">
        <v>439</v>
      </c>
      <c r="H281" t="s">
        <v>553</v>
      </c>
      <c r="I281" t="s">
        <v>566</v>
      </c>
      <c r="J281" s="2">
        <v>45923</v>
      </c>
      <c r="K281" s="2">
        <v>45924</v>
      </c>
      <c r="L281">
        <v>281</v>
      </c>
      <c r="M281" t="s">
        <v>648</v>
      </c>
      <c r="N281" t="s">
        <v>750</v>
      </c>
    </row>
    <row r="282" spans="1:14" ht="16.5" x14ac:dyDescent="0.25">
      <c r="B282" s="4">
        <v>45895</v>
      </c>
      <c r="C282" t="s">
        <v>64</v>
      </c>
      <c r="D282" t="s">
        <v>164</v>
      </c>
      <c r="E282" t="s">
        <v>272</v>
      </c>
      <c r="F282" t="s">
        <v>439</v>
      </c>
      <c r="H282" t="s">
        <v>553</v>
      </c>
      <c r="I282" t="s">
        <v>566</v>
      </c>
      <c r="J282" s="2">
        <v>45923</v>
      </c>
      <c r="K282" s="2">
        <v>45924</v>
      </c>
      <c r="L282">
        <v>282</v>
      </c>
      <c r="M282" t="s">
        <v>648</v>
      </c>
      <c r="N282" t="s">
        <v>750</v>
      </c>
    </row>
    <row r="283" spans="1:14" ht="16.5" x14ac:dyDescent="0.25">
      <c r="B283" s="4">
        <v>45923</v>
      </c>
      <c r="C283" t="s">
        <v>58</v>
      </c>
      <c r="D283" t="s">
        <v>174</v>
      </c>
      <c r="E283" t="s">
        <v>291</v>
      </c>
      <c r="F283" t="s">
        <v>440</v>
      </c>
      <c r="H283" t="s">
        <v>553</v>
      </c>
      <c r="I283" t="s">
        <v>566</v>
      </c>
      <c r="J283" s="2">
        <v>45923</v>
      </c>
      <c r="K283" s="2">
        <v>45924</v>
      </c>
      <c r="L283">
        <v>283</v>
      </c>
      <c r="M283" t="s">
        <v>648</v>
      </c>
      <c r="N283" t="s">
        <v>761</v>
      </c>
    </row>
    <row r="284" spans="1:14" ht="16.5" x14ac:dyDescent="0.25">
      <c r="B284" s="4">
        <v>45923</v>
      </c>
      <c r="C284" t="s">
        <v>58</v>
      </c>
      <c r="D284" t="s">
        <v>174</v>
      </c>
      <c r="E284" t="s">
        <v>272</v>
      </c>
      <c r="F284" t="s">
        <v>440</v>
      </c>
      <c r="H284" t="s">
        <v>553</v>
      </c>
      <c r="I284" t="s">
        <v>566</v>
      </c>
      <c r="J284" s="2">
        <v>45923</v>
      </c>
      <c r="K284" s="2">
        <v>45924</v>
      </c>
      <c r="L284">
        <v>284</v>
      </c>
      <c r="M284" t="s">
        <v>648</v>
      </c>
      <c r="N284" t="s">
        <v>761</v>
      </c>
    </row>
    <row r="285" spans="1:14" ht="16.5" x14ac:dyDescent="0.25">
      <c r="B285" s="4">
        <v>45838</v>
      </c>
      <c r="C285" t="s">
        <v>67</v>
      </c>
      <c r="D285" t="s">
        <v>175</v>
      </c>
      <c r="E285" t="s">
        <v>292</v>
      </c>
      <c r="F285" t="s">
        <v>441</v>
      </c>
      <c r="H285" t="s">
        <v>553</v>
      </c>
      <c r="I285" t="s">
        <v>566</v>
      </c>
      <c r="J285" s="2">
        <v>45925</v>
      </c>
      <c r="K285" s="2">
        <v>45926</v>
      </c>
      <c r="L285">
        <v>285</v>
      </c>
      <c r="M285" t="s">
        <v>656</v>
      </c>
      <c r="N285" t="s">
        <v>762</v>
      </c>
    </row>
    <row r="286" spans="1:14" ht="16.5" x14ac:dyDescent="0.25">
      <c r="B286" s="4">
        <v>45838</v>
      </c>
      <c r="C286" t="s">
        <v>67</v>
      </c>
      <c r="D286" t="s">
        <v>175</v>
      </c>
      <c r="E286" t="s">
        <v>272</v>
      </c>
      <c r="F286" t="s">
        <v>441</v>
      </c>
      <c r="H286" t="s">
        <v>553</v>
      </c>
      <c r="I286" t="s">
        <v>566</v>
      </c>
      <c r="J286" s="2">
        <v>45925</v>
      </c>
      <c r="K286" s="2">
        <v>45926</v>
      </c>
      <c r="L286">
        <v>286</v>
      </c>
      <c r="M286" t="s">
        <v>656</v>
      </c>
      <c r="N286" t="s">
        <v>762</v>
      </c>
    </row>
    <row r="287" spans="1:14" ht="16.5" x14ac:dyDescent="0.25">
      <c r="B287" s="4">
        <v>45891</v>
      </c>
      <c r="C287" t="s">
        <v>18</v>
      </c>
      <c r="D287" t="s">
        <v>176</v>
      </c>
      <c r="E287" t="s">
        <v>293</v>
      </c>
      <c r="F287" t="s">
        <v>442</v>
      </c>
      <c r="H287" t="s">
        <v>553</v>
      </c>
      <c r="I287" t="s">
        <v>566</v>
      </c>
      <c r="J287" s="2">
        <v>45925</v>
      </c>
      <c r="K287" s="2">
        <v>45926</v>
      </c>
      <c r="L287">
        <v>287</v>
      </c>
      <c r="M287" t="s">
        <v>657</v>
      </c>
      <c r="N287" t="s">
        <v>763</v>
      </c>
    </row>
    <row r="288" spans="1:14" ht="16.5" x14ac:dyDescent="0.25">
      <c r="B288" s="4">
        <v>45891</v>
      </c>
      <c r="C288" t="s">
        <v>18</v>
      </c>
      <c r="D288" t="s">
        <v>176</v>
      </c>
      <c r="E288" t="s">
        <v>272</v>
      </c>
      <c r="F288" t="s">
        <v>442</v>
      </c>
      <c r="H288" t="s">
        <v>553</v>
      </c>
      <c r="I288" t="s">
        <v>566</v>
      </c>
      <c r="J288" s="2">
        <v>45925</v>
      </c>
      <c r="K288" s="2">
        <v>45926</v>
      </c>
      <c r="L288">
        <v>288</v>
      </c>
      <c r="M288" t="s">
        <v>657</v>
      </c>
      <c r="N288" t="s">
        <v>763</v>
      </c>
    </row>
    <row r="289" spans="1:14" ht="16.5" x14ac:dyDescent="0.25">
      <c r="A289" t="s">
        <v>0</v>
      </c>
      <c r="B289" s="4">
        <v>45918</v>
      </c>
      <c r="C289" t="s">
        <v>68</v>
      </c>
      <c r="D289" t="s">
        <v>177</v>
      </c>
      <c r="E289" t="s">
        <v>294</v>
      </c>
      <c r="F289" t="s">
        <v>443</v>
      </c>
      <c r="H289" t="s">
        <v>577</v>
      </c>
      <c r="I289" t="s">
        <v>565</v>
      </c>
      <c r="J289" s="2">
        <v>45926</v>
      </c>
      <c r="K289" s="2">
        <v>45926</v>
      </c>
      <c r="L289">
        <v>289</v>
      </c>
      <c r="M289" t="s">
        <v>658</v>
      </c>
      <c r="N289" t="s">
        <v>764</v>
      </c>
    </row>
    <row r="290" spans="1:14" ht="16.5" x14ac:dyDescent="0.25">
      <c r="A290" t="s">
        <v>0</v>
      </c>
      <c r="B290" s="4">
        <v>45918</v>
      </c>
      <c r="C290" t="s">
        <v>68</v>
      </c>
      <c r="D290" t="s">
        <v>177</v>
      </c>
      <c r="E290" t="s">
        <v>295</v>
      </c>
      <c r="F290" t="s">
        <v>443</v>
      </c>
      <c r="H290" t="s">
        <v>577</v>
      </c>
      <c r="I290" t="s">
        <v>565</v>
      </c>
      <c r="J290" s="2">
        <v>45926</v>
      </c>
      <c r="K290" s="2">
        <v>45926</v>
      </c>
      <c r="L290">
        <v>290</v>
      </c>
      <c r="M290" t="s">
        <v>658</v>
      </c>
      <c r="N290" t="s">
        <v>764</v>
      </c>
    </row>
    <row r="291" spans="1:14" ht="16.5" x14ac:dyDescent="0.25">
      <c r="B291" s="4">
        <v>45692</v>
      </c>
      <c r="C291" t="s">
        <v>11</v>
      </c>
      <c r="D291" t="s">
        <v>106</v>
      </c>
      <c r="E291" t="s">
        <v>223</v>
      </c>
      <c r="F291" t="s">
        <v>444</v>
      </c>
      <c r="H291" t="s">
        <v>553</v>
      </c>
      <c r="I291" t="s">
        <v>567</v>
      </c>
      <c r="J291" s="2">
        <v>45927</v>
      </c>
      <c r="K291" s="2">
        <v>45928</v>
      </c>
      <c r="L291">
        <v>291</v>
      </c>
      <c r="M291" t="s">
        <v>597</v>
      </c>
      <c r="N291" t="s">
        <v>696</v>
      </c>
    </row>
    <row r="292" spans="1:14" ht="16.5" x14ac:dyDescent="0.25">
      <c r="B292" s="4">
        <v>45692</v>
      </c>
      <c r="C292" t="s">
        <v>11</v>
      </c>
      <c r="D292" t="s">
        <v>106</v>
      </c>
      <c r="E292" t="s">
        <v>272</v>
      </c>
      <c r="F292" t="s">
        <v>444</v>
      </c>
      <c r="H292" t="s">
        <v>553</v>
      </c>
      <c r="I292" t="s">
        <v>567</v>
      </c>
      <c r="J292" s="2">
        <v>45927</v>
      </c>
      <c r="K292" s="2">
        <v>45928</v>
      </c>
      <c r="L292">
        <v>292</v>
      </c>
      <c r="M292" t="s">
        <v>597</v>
      </c>
      <c r="N292" t="s">
        <v>696</v>
      </c>
    </row>
    <row r="293" spans="1:14" ht="16.5" x14ac:dyDescent="0.25">
      <c r="B293" s="4">
        <v>45919</v>
      </c>
      <c r="C293" t="s">
        <v>69</v>
      </c>
      <c r="D293" t="s">
        <v>178</v>
      </c>
      <c r="E293" t="s">
        <v>296</v>
      </c>
      <c r="F293" t="s">
        <v>445</v>
      </c>
      <c r="H293" t="s">
        <v>553</v>
      </c>
      <c r="I293" t="s">
        <v>567</v>
      </c>
      <c r="J293" s="2">
        <v>45927</v>
      </c>
      <c r="K293" s="2">
        <v>45928</v>
      </c>
      <c r="L293">
        <v>293</v>
      </c>
      <c r="M293" t="s">
        <v>659</v>
      </c>
      <c r="N293" t="s">
        <v>765</v>
      </c>
    </row>
    <row r="294" spans="1:14" ht="16.5" x14ac:dyDescent="0.25">
      <c r="B294" s="4">
        <v>45919</v>
      </c>
      <c r="C294" t="s">
        <v>69</v>
      </c>
      <c r="D294" t="s">
        <v>178</v>
      </c>
      <c r="E294" t="s">
        <v>272</v>
      </c>
      <c r="F294" t="s">
        <v>445</v>
      </c>
      <c r="H294" t="s">
        <v>553</v>
      </c>
      <c r="I294" t="s">
        <v>567</v>
      </c>
      <c r="J294" s="2">
        <v>45927</v>
      </c>
      <c r="K294" s="2">
        <v>45928</v>
      </c>
      <c r="L294">
        <v>294</v>
      </c>
      <c r="M294" t="s">
        <v>659</v>
      </c>
      <c r="N294" t="s">
        <v>765</v>
      </c>
    </row>
    <row r="295" spans="1:14" ht="16.5" x14ac:dyDescent="0.25">
      <c r="A295" t="s">
        <v>0</v>
      </c>
      <c r="B295" s="4">
        <v>45919</v>
      </c>
      <c r="C295" t="s">
        <v>36</v>
      </c>
      <c r="D295" t="s">
        <v>179</v>
      </c>
      <c r="E295" t="s">
        <v>297</v>
      </c>
      <c r="F295" t="s">
        <v>446</v>
      </c>
      <c r="H295" t="s">
        <v>577</v>
      </c>
      <c r="I295" t="s">
        <v>565</v>
      </c>
      <c r="J295" s="2">
        <v>45927</v>
      </c>
      <c r="K295" s="2">
        <v>45928</v>
      </c>
      <c r="L295">
        <v>295</v>
      </c>
      <c r="M295" t="s">
        <v>659</v>
      </c>
      <c r="N295" t="s">
        <v>766</v>
      </c>
    </row>
    <row r="296" spans="1:14" ht="16.5" x14ac:dyDescent="0.25">
      <c r="A296" t="s">
        <v>0</v>
      </c>
      <c r="B296" s="4">
        <v>45919</v>
      </c>
      <c r="C296" t="s">
        <v>36</v>
      </c>
      <c r="D296" t="s">
        <v>179</v>
      </c>
      <c r="E296" t="s">
        <v>272</v>
      </c>
      <c r="F296" t="s">
        <v>446</v>
      </c>
      <c r="H296" t="s">
        <v>577</v>
      </c>
      <c r="I296" t="s">
        <v>565</v>
      </c>
      <c r="J296" s="2">
        <v>45927</v>
      </c>
      <c r="K296" s="2">
        <v>45928</v>
      </c>
      <c r="L296">
        <v>296</v>
      </c>
      <c r="M296" t="s">
        <v>659</v>
      </c>
      <c r="N296" t="s">
        <v>766</v>
      </c>
    </row>
    <row r="297" spans="1:14" ht="16.5" x14ac:dyDescent="0.25">
      <c r="A297" t="s">
        <v>0</v>
      </c>
      <c r="B297" s="4">
        <v>45916</v>
      </c>
      <c r="C297" t="s">
        <v>70</v>
      </c>
      <c r="D297" t="s">
        <v>180</v>
      </c>
      <c r="E297" t="s">
        <v>298</v>
      </c>
      <c r="F297" t="s">
        <v>447</v>
      </c>
      <c r="H297" t="s">
        <v>555</v>
      </c>
      <c r="I297" t="s">
        <v>565</v>
      </c>
      <c r="J297" s="2">
        <v>45930</v>
      </c>
      <c r="K297" s="2">
        <v>45931</v>
      </c>
      <c r="L297">
        <v>297</v>
      </c>
      <c r="M297" t="s">
        <v>660</v>
      </c>
      <c r="N297" t="s">
        <v>767</v>
      </c>
    </row>
    <row r="298" spans="1:14" ht="16.5" x14ac:dyDescent="0.25">
      <c r="A298" t="s">
        <v>0</v>
      </c>
      <c r="B298" s="4">
        <v>45916</v>
      </c>
      <c r="C298" t="s">
        <v>70</v>
      </c>
      <c r="D298" t="s">
        <v>180</v>
      </c>
      <c r="E298" t="s">
        <v>272</v>
      </c>
      <c r="F298" t="s">
        <v>447</v>
      </c>
      <c r="H298" t="s">
        <v>555</v>
      </c>
      <c r="I298" t="s">
        <v>565</v>
      </c>
      <c r="J298" s="2">
        <v>45930</v>
      </c>
      <c r="K298" s="2">
        <v>45931</v>
      </c>
      <c r="L298">
        <v>298</v>
      </c>
      <c r="M298" t="s">
        <v>660</v>
      </c>
      <c r="N298" t="s">
        <v>767</v>
      </c>
    </row>
    <row r="299" spans="1:14" ht="16.5" x14ac:dyDescent="0.25">
      <c r="B299" s="4">
        <v>45895</v>
      </c>
      <c r="C299" t="s">
        <v>64</v>
      </c>
      <c r="D299" t="s">
        <v>164</v>
      </c>
      <c r="E299" t="s">
        <v>280</v>
      </c>
      <c r="F299" t="s">
        <v>448</v>
      </c>
      <c r="H299" t="s">
        <v>556</v>
      </c>
      <c r="I299" t="s">
        <v>575</v>
      </c>
      <c r="J299" s="2">
        <v>45931</v>
      </c>
      <c r="K299" s="2">
        <v>45932</v>
      </c>
      <c r="L299">
        <v>299</v>
      </c>
      <c r="M299" t="s">
        <v>648</v>
      </c>
      <c r="N299" t="s">
        <v>750</v>
      </c>
    </row>
    <row r="300" spans="1:14" ht="16.5" x14ac:dyDescent="0.25">
      <c r="B300" s="4">
        <v>45895</v>
      </c>
      <c r="C300" t="s">
        <v>64</v>
      </c>
      <c r="D300" t="s">
        <v>164</v>
      </c>
      <c r="E300" t="s">
        <v>272</v>
      </c>
      <c r="F300" t="s">
        <v>448</v>
      </c>
      <c r="H300" t="s">
        <v>556</v>
      </c>
      <c r="I300" t="s">
        <v>575</v>
      </c>
      <c r="J300" s="2">
        <v>45931</v>
      </c>
      <c r="K300" s="2">
        <v>45932</v>
      </c>
      <c r="L300">
        <v>300</v>
      </c>
      <c r="M300" t="s">
        <v>648</v>
      </c>
      <c r="N300" t="s">
        <v>750</v>
      </c>
    </row>
    <row r="301" spans="1:14" ht="16.5" x14ac:dyDescent="0.25">
      <c r="B301" s="4">
        <v>45923</v>
      </c>
      <c r="C301" t="s">
        <v>58</v>
      </c>
      <c r="D301" t="s">
        <v>174</v>
      </c>
      <c r="E301" t="s">
        <v>291</v>
      </c>
      <c r="F301" t="s">
        <v>448</v>
      </c>
      <c r="H301" t="s">
        <v>556</v>
      </c>
      <c r="I301" t="s">
        <v>575</v>
      </c>
      <c r="J301" s="2">
        <v>45931</v>
      </c>
      <c r="K301" s="2">
        <v>45932</v>
      </c>
      <c r="L301">
        <v>301</v>
      </c>
      <c r="M301" t="s">
        <v>648</v>
      </c>
      <c r="N301" t="s">
        <v>761</v>
      </c>
    </row>
    <row r="302" spans="1:14" ht="16.5" x14ac:dyDescent="0.25">
      <c r="B302" s="4">
        <v>45923</v>
      </c>
      <c r="C302" t="s">
        <v>58</v>
      </c>
      <c r="D302" t="s">
        <v>174</v>
      </c>
      <c r="E302" t="s">
        <v>272</v>
      </c>
      <c r="F302" t="s">
        <v>448</v>
      </c>
      <c r="H302" t="s">
        <v>556</v>
      </c>
      <c r="I302" t="s">
        <v>575</v>
      </c>
      <c r="J302" s="2">
        <v>45931</v>
      </c>
      <c r="K302" s="2">
        <v>45932</v>
      </c>
      <c r="L302">
        <v>302</v>
      </c>
      <c r="M302" t="s">
        <v>648</v>
      </c>
      <c r="N302" t="s">
        <v>761</v>
      </c>
    </row>
    <row r="303" spans="1:14" ht="16.5" x14ac:dyDescent="0.25">
      <c r="B303" s="4">
        <v>45693</v>
      </c>
      <c r="C303" t="s">
        <v>13</v>
      </c>
      <c r="D303" t="s">
        <v>90</v>
      </c>
      <c r="E303" t="s">
        <v>206</v>
      </c>
      <c r="F303" t="s">
        <v>449</v>
      </c>
      <c r="H303" t="s">
        <v>556</v>
      </c>
      <c r="I303" t="s">
        <v>567</v>
      </c>
      <c r="J303" s="2">
        <v>45936</v>
      </c>
      <c r="K303" s="2">
        <v>45937</v>
      </c>
      <c r="L303">
        <v>303</v>
      </c>
      <c r="M303" t="s">
        <v>583</v>
      </c>
      <c r="N303" t="s">
        <v>681</v>
      </c>
    </row>
    <row r="304" spans="1:14" ht="16.5" x14ac:dyDescent="0.25">
      <c r="B304" s="4">
        <v>45693</v>
      </c>
      <c r="C304" t="s">
        <v>13</v>
      </c>
      <c r="D304" t="s">
        <v>90</v>
      </c>
      <c r="E304" t="s">
        <v>272</v>
      </c>
      <c r="F304" t="s">
        <v>449</v>
      </c>
      <c r="H304" t="s">
        <v>556</v>
      </c>
      <c r="I304" t="s">
        <v>567</v>
      </c>
      <c r="J304" s="2">
        <v>45936</v>
      </c>
      <c r="K304" s="2">
        <v>45937</v>
      </c>
      <c r="L304">
        <v>304</v>
      </c>
      <c r="M304" t="s">
        <v>583</v>
      </c>
      <c r="N304" t="s">
        <v>681</v>
      </c>
    </row>
    <row r="305" spans="1:14" ht="16.5" x14ac:dyDescent="0.25">
      <c r="B305" s="4">
        <v>45916</v>
      </c>
      <c r="C305" t="s">
        <v>9</v>
      </c>
      <c r="D305" t="s">
        <v>181</v>
      </c>
      <c r="E305" t="s">
        <v>299</v>
      </c>
      <c r="F305" t="s">
        <v>450</v>
      </c>
      <c r="H305" t="s">
        <v>557</v>
      </c>
      <c r="I305" t="s">
        <v>575</v>
      </c>
      <c r="J305" s="2">
        <v>45938</v>
      </c>
      <c r="K305" s="2">
        <v>45938</v>
      </c>
      <c r="L305">
        <v>305</v>
      </c>
      <c r="M305" t="s">
        <v>583</v>
      </c>
      <c r="N305" t="s">
        <v>768</v>
      </c>
    </row>
    <row r="306" spans="1:14" ht="16.5" x14ac:dyDescent="0.25">
      <c r="B306" s="4">
        <v>45916</v>
      </c>
      <c r="C306" t="s">
        <v>9</v>
      </c>
      <c r="D306" t="s">
        <v>181</v>
      </c>
      <c r="E306" t="s">
        <v>208</v>
      </c>
      <c r="F306" t="s">
        <v>450</v>
      </c>
      <c r="H306" t="s">
        <v>557</v>
      </c>
      <c r="I306" t="s">
        <v>575</v>
      </c>
      <c r="J306" s="2">
        <v>45938</v>
      </c>
      <c r="K306" s="2">
        <v>45938</v>
      </c>
      <c r="L306">
        <v>306</v>
      </c>
      <c r="M306" t="s">
        <v>583</v>
      </c>
      <c r="N306" t="s">
        <v>768</v>
      </c>
    </row>
    <row r="307" spans="1:14" ht="16.5" x14ac:dyDescent="0.25">
      <c r="B307" s="4">
        <v>45693</v>
      </c>
      <c r="C307" t="s">
        <v>13</v>
      </c>
      <c r="D307" t="s">
        <v>90</v>
      </c>
      <c r="E307" t="s">
        <v>206</v>
      </c>
      <c r="F307" t="s">
        <v>451</v>
      </c>
      <c r="H307" t="s">
        <v>558</v>
      </c>
      <c r="I307" t="s">
        <v>576</v>
      </c>
      <c r="J307" s="2">
        <v>45939</v>
      </c>
      <c r="K307" s="2">
        <v>45940</v>
      </c>
      <c r="L307">
        <v>307</v>
      </c>
      <c r="M307" t="s">
        <v>583</v>
      </c>
      <c r="N307" t="s">
        <v>681</v>
      </c>
    </row>
    <row r="308" spans="1:14" ht="16.5" x14ac:dyDescent="0.25">
      <c r="B308" s="4">
        <v>45693</v>
      </c>
      <c r="C308" t="s">
        <v>13</v>
      </c>
      <c r="D308" t="s">
        <v>90</v>
      </c>
      <c r="E308" t="s">
        <v>272</v>
      </c>
      <c r="F308" t="s">
        <v>451</v>
      </c>
      <c r="H308" t="s">
        <v>558</v>
      </c>
      <c r="I308" t="s">
        <v>576</v>
      </c>
      <c r="J308" s="2">
        <v>45939</v>
      </c>
      <c r="K308" s="2">
        <v>45940</v>
      </c>
      <c r="L308">
        <v>308</v>
      </c>
      <c r="M308" t="s">
        <v>583</v>
      </c>
      <c r="N308" t="s">
        <v>681</v>
      </c>
    </row>
    <row r="309" spans="1:14" ht="16.5" x14ac:dyDescent="0.25">
      <c r="B309" s="4">
        <v>45923</v>
      </c>
      <c r="C309" t="s">
        <v>58</v>
      </c>
      <c r="D309" t="s">
        <v>174</v>
      </c>
      <c r="E309" t="s">
        <v>300</v>
      </c>
      <c r="F309" t="s">
        <v>451</v>
      </c>
      <c r="H309" t="s">
        <v>558</v>
      </c>
      <c r="I309" t="s">
        <v>576</v>
      </c>
      <c r="J309" s="2">
        <v>45939</v>
      </c>
      <c r="K309" s="2">
        <v>45940</v>
      </c>
      <c r="L309">
        <v>309</v>
      </c>
      <c r="M309" t="s">
        <v>583</v>
      </c>
      <c r="N309" t="s">
        <v>769</v>
      </c>
    </row>
    <row r="310" spans="1:14" ht="16.5" x14ac:dyDescent="0.25">
      <c r="B310" s="4">
        <v>45923</v>
      </c>
      <c r="C310" t="s">
        <v>58</v>
      </c>
      <c r="D310" t="s">
        <v>174</v>
      </c>
      <c r="E310" t="s">
        <v>272</v>
      </c>
      <c r="F310" t="s">
        <v>451</v>
      </c>
      <c r="H310" t="s">
        <v>558</v>
      </c>
      <c r="I310" t="s">
        <v>576</v>
      </c>
      <c r="J310" s="2">
        <v>45939</v>
      </c>
      <c r="K310" s="2">
        <v>45940</v>
      </c>
      <c r="L310">
        <v>310</v>
      </c>
      <c r="M310" t="s">
        <v>583</v>
      </c>
      <c r="N310" t="s">
        <v>769</v>
      </c>
    </row>
    <row r="311" spans="1:14" ht="16.5" x14ac:dyDescent="0.25">
      <c r="B311" s="4">
        <v>45923</v>
      </c>
      <c r="C311" t="s">
        <v>58</v>
      </c>
      <c r="D311" t="s">
        <v>174</v>
      </c>
      <c r="E311" t="s">
        <v>300</v>
      </c>
      <c r="F311" t="s">
        <v>452</v>
      </c>
      <c r="H311" t="s">
        <v>557</v>
      </c>
      <c r="I311" t="s">
        <v>575</v>
      </c>
      <c r="J311" s="2">
        <v>45941</v>
      </c>
      <c r="K311" s="2">
        <v>45942</v>
      </c>
      <c r="L311">
        <v>311</v>
      </c>
      <c r="M311" t="s">
        <v>583</v>
      </c>
      <c r="N311" t="s">
        <v>769</v>
      </c>
    </row>
    <row r="312" spans="1:14" ht="16.5" x14ac:dyDescent="0.25">
      <c r="B312" s="4">
        <v>45923</v>
      </c>
      <c r="C312" t="s">
        <v>58</v>
      </c>
      <c r="D312" t="s">
        <v>174</v>
      </c>
      <c r="E312" t="s">
        <v>272</v>
      </c>
      <c r="F312" t="s">
        <v>452</v>
      </c>
      <c r="H312" t="s">
        <v>557</v>
      </c>
      <c r="I312" t="s">
        <v>575</v>
      </c>
      <c r="J312" s="2">
        <v>45941</v>
      </c>
      <c r="K312" s="2">
        <v>45942</v>
      </c>
      <c r="L312">
        <v>312</v>
      </c>
      <c r="M312" t="s">
        <v>583</v>
      </c>
      <c r="N312" t="s">
        <v>769</v>
      </c>
    </row>
    <row r="313" spans="1:14" ht="16.5" x14ac:dyDescent="0.25">
      <c r="A313" t="s">
        <v>0</v>
      </c>
      <c r="B313" s="4">
        <v>45931</v>
      </c>
      <c r="C313" t="s">
        <v>71</v>
      </c>
      <c r="D313" t="s">
        <v>182</v>
      </c>
      <c r="E313" t="s">
        <v>301</v>
      </c>
      <c r="F313" t="s">
        <v>453</v>
      </c>
      <c r="H313" t="s">
        <v>557</v>
      </c>
      <c r="I313" t="s">
        <v>575</v>
      </c>
      <c r="J313" s="2">
        <v>45941</v>
      </c>
      <c r="K313" s="2">
        <v>45942</v>
      </c>
      <c r="L313">
        <v>313</v>
      </c>
      <c r="M313" t="s">
        <v>661</v>
      </c>
      <c r="N313" t="s">
        <v>770</v>
      </c>
    </row>
    <row r="314" spans="1:14" ht="16.5" x14ac:dyDescent="0.25">
      <c r="A314" t="s">
        <v>0</v>
      </c>
      <c r="B314" s="4">
        <v>45931</v>
      </c>
      <c r="C314" t="s">
        <v>71</v>
      </c>
      <c r="D314" t="s">
        <v>182</v>
      </c>
      <c r="E314" t="s">
        <v>208</v>
      </c>
      <c r="F314" t="s">
        <v>453</v>
      </c>
      <c r="H314" t="s">
        <v>557</v>
      </c>
      <c r="I314" t="s">
        <v>575</v>
      </c>
      <c r="J314" s="2">
        <v>45941</v>
      </c>
      <c r="K314" s="2">
        <v>45942</v>
      </c>
      <c r="L314">
        <v>314</v>
      </c>
      <c r="M314" t="s">
        <v>661</v>
      </c>
      <c r="N314" t="s">
        <v>770</v>
      </c>
    </row>
    <row r="315" spans="1:14" ht="16.5" x14ac:dyDescent="0.25">
      <c r="A315" t="s">
        <v>0</v>
      </c>
      <c r="B315" s="4">
        <v>45903</v>
      </c>
      <c r="C315" t="s">
        <v>72</v>
      </c>
      <c r="D315" t="s">
        <v>183</v>
      </c>
      <c r="E315" t="s">
        <v>302</v>
      </c>
      <c r="F315" t="s">
        <v>454</v>
      </c>
      <c r="H315" t="s">
        <v>577</v>
      </c>
      <c r="I315" t="s">
        <v>565</v>
      </c>
      <c r="J315" s="2">
        <v>45944</v>
      </c>
      <c r="K315" s="2">
        <v>45944</v>
      </c>
      <c r="L315">
        <v>315</v>
      </c>
      <c r="M315" t="s">
        <v>662</v>
      </c>
      <c r="N315" t="s">
        <v>771</v>
      </c>
    </row>
    <row r="316" spans="1:14" ht="16.5" x14ac:dyDescent="0.25">
      <c r="A316" t="s">
        <v>0</v>
      </c>
      <c r="B316" s="4">
        <v>45903</v>
      </c>
      <c r="C316" t="s">
        <v>72</v>
      </c>
      <c r="D316" t="s">
        <v>183</v>
      </c>
      <c r="E316" t="s">
        <v>272</v>
      </c>
      <c r="F316" t="s">
        <v>454</v>
      </c>
      <c r="H316" t="s">
        <v>577</v>
      </c>
      <c r="I316" t="s">
        <v>565</v>
      </c>
      <c r="J316" s="2">
        <v>45944</v>
      </c>
      <c r="K316" s="2">
        <v>45944</v>
      </c>
      <c r="L316">
        <v>316</v>
      </c>
      <c r="M316" t="s">
        <v>662</v>
      </c>
      <c r="N316" t="s">
        <v>771</v>
      </c>
    </row>
    <row r="317" spans="1:14" ht="16.5" x14ac:dyDescent="0.25">
      <c r="A317" t="s">
        <v>0</v>
      </c>
      <c r="B317" s="4">
        <v>45896</v>
      </c>
      <c r="C317" t="s">
        <v>73</v>
      </c>
      <c r="D317" t="s">
        <v>184</v>
      </c>
      <c r="E317" t="s">
        <v>303</v>
      </c>
      <c r="F317" t="s">
        <v>455</v>
      </c>
      <c r="H317" t="s">
        <v>577</v>
      </c>
      <c r="I317" t="s">
        <v>565</v>
      </c>
      <c r="J317" s="2">
        <v>45945</v>
      </c>
      <c r="K317" s="2">
        <v>45945</v>
      </c>
      <c r="L317">
        <v>317</v>
      </c>
      <c r="M317" t="s">
        <v>663</v>
      </c>
      <c r="N317" t="s">
        <v>771</v>
      </c>
    </row>
    <row r="318" spans="1:14" ht="16.5" x14ac:dyDescent="0.25">
      <c r="A318" t="s">
        <v>0</v>
      </c>
      <c r="B318" s="4">
        <v>45896</v>
      </c>
      <c r="C318" t="s">
        <v>73</v>
      </c>
      <c r="D318" t="s">
        <v>184</v>
      </c>
      <c r="E318" t="s">
        <v>272</v>
      </c>
      <c r="F318" t="s">
        <v>455</v>
      </c>
      <c r="H318" t="s">
        <v>577</v>
      </c>
      <c r="I318" t="s">
        <v>565</v>
      </c>
      <c r="J318" s="2">
        <v>45945</v>
      </c>
      <c r="K318" s="2">
        <v>45945</v>
      </c>
      <c r="L318">
        <v>318</v>
      </c>
      <c r="M318" t="s">
        <v>663</v>
      </c>
      <c r="N318" t="s">
        <v>771</v>
      </c>
    </row>
    <row r="319" spans="1:14" ht="16.5" x14ac:dyDescent="0.25">
      <c r="B319" s="4">
        <v>45923</v>
      </c>
      <c r="C319" t="s">
        <v>58</v>
      </c>
      <c r="D319" t="s">
        <v>174</v>
      </c>
      <c r="E319" t="s">
        <v>300</v>
      </c>
      <c r="F319" t="s">
        <v>456</v>
      </c>
      <c r="H319" t="s">
        <v>559</v>
      </c>
      <c r="I319" t="s">
        <v>566</v>
      </c>
      <c r="J319" s="2">
        <v>45945</v>
      </c>
      <c r="K319" s="2">
        <v>45946</v>
      </c>
      <c r="L319">
        <v>319</v>
      </c>
      <c r="M319" t="s">
        <v>663</v>
      </c>
      <c r="N319" t="s">
        <v>769</v>
      </c>
    </row>
    <row r="320" spans="1:14" ht="16.5" x14ac:dyDescent="0.25">
      <c r="B320" s="4">
        <v>45923</v>
      </c>
      <c r="C320" t="s">
        <v>58</v>
      </c>
      <c r="D320" t="s">
        <v>174</v>
      </c>
      <c r="E320" t="s">
        <v>208</v>
      </c>
      <c r="F320" t="s">
        <v>456</v>
      </c>
      <c r="H320" t="s">
        <v>559</v>
      </c>
      <c r="I320" t="s">
        <v>566</v>
      </c>
      <c r="J320" s="2">
        <v>45945</v>
      </c>
      <c r="K320" s="2">
        <v>45946</v>
      </c>
      <c r="L320">
        <v>320</v>
      </c>
      <c r="M320" t="s">
        <v>663</v>
      </c>
      <c r="N320" t="s">
        <v>769</v>
      </c>
    </row>
    <row r="321" spans="2:14" ht="16.5" x14ac:dyDescent="0.25">
      <c r="B321" s="4">
        <v>45652</v>
      </c>
      <c r="C321" t="s">
        <v>6</v>
      </c>
      <c r="D321" t="s">
        <v>88</v>
      </c>
      <c r="E321" t="s">
        <v>204</v>
      </c>
      <c r="F321" t="s">
        <v>457</v>
      </c>
      <c r="H321" t="s">
        <v>559</v>
      </c>
      <c r="I321" t="s">
        <v>569</v>
      </c>
      <c r="J321" s="2">
        <v>45947</v>
      </c>
      <c r="K321" s="2">
        <v>45950</v>
      </c>
      <c r="L321">
        <v>321</v>
      </c>
      <c r="M321" t="s">
        <v>581</v>
      </c>
      <c r="N321" t="s">
        <v>679</v>
      </c>
    </row>
    <row r="322" spans="2:14" ht="16.5" x14ac:dyDescent="0.25">
      <c r="B322" s="4">
        <v>45652</v>
      </c>
      <c r="C322" t="s">
        <v>6</v>
      </c>
      <c r="D322" t="s">
        <v>88</v>
      </c>
      <c r="E322" t="s">
        <v>203</v>
      </c>
      <c r="F322" t="s">
        <v>457</v>
      </c>
      <c r="H322" t="s">
        <v>559</v>
      </c>
      <c r="I322" t="s">
        <v>569</v>
      </c>
      <c r="J322" s="2">
        <v>45947</v>
      </c>
      <c r="K322" s="2">
        <v>45950</v>
      </c>
      <c r="L322">
        <v>322</v>
      </c>
      <c r="M322" t="s">
        <v>581</v>
      </c>
      <c r="N322" t="s">
        <v>679</v>
      </c>
    </row>
    <row r="323" spans="2:14" ht="16.5" x14ac:dyDescent="0.25">
      <c r="B323" s="4">
        <v>45692</v>
      </c>
      <c r="C323" t="s">
        <v>32</v>
      </c>
      <c r="D323" t="s">
        <v>120</v>
      </c>
      <c r="E323" t="s">
        <v>235</v>
      </c>
      <c r="F323" t="s">
        <v>457</v>
      </c>
      <c r="H323" t="s">
        <v>559</v>
      </c>
      <c r="I323" t="s">
        <v>569</v>
      </c>
      <c r="J323" s="2">
        <v>45947</v>
      </c>
      <c r="K323" s="2">
        <v>45950</v>
      </c>
      <c r="L323">
        <v>323</v>
      </c>
      <c r="M323" t="s">
        <v>610</v>
      </c>
      <c r="N323" t="s">
        <v>708</v>
      </c>
    </row>
    <row r="324" spans="2:14" ht="16.5" x14ac:dyDescent="0.25">
      <c r="B324" s="4">
        <v>45692</v>
      </c>
      <c r="C324" t="s">
        <v>32</v>
      </c>
      <c r="D324" t="s">
        <v>120</v>
      </c>
      <c r="E324" t="s">
        <v>203</v>
      </c>
      <c r="F324" t="s">
        <v>457</v>
      </c>
      <c r="H324" t="s">
        <v>559</v>
      </c>
      <c r="I324" t="s">
        <v>569</v>
      </c>
      <c r="J324" s="2">
        <v>45947</v>
      </c>
      <c r="K324" s="2">
        <v>45950</v>
      </c>
      <c r="L324">
        <v>324</v>
      </c>
      <c r="M324" t="s">
        <v>610</v>
      </c>
      <c r="N324" t="s">
        <v>708</v>
      </c>
    </row>
    <row r="325" spans="2:14" ht="16.5" x14ac:dyDescent="0.25">
      <c r="B325" s="4">
        <v>45692</v>
      </c>
      <c r="C325" t="s">
        <v>11</v>
      </c>
      <c r="D325" t="s">
        <v>106</v>
      </c>
      <c r="E325" t="s">
        <v>223</v>
      </c>
      <c r="F325" t="s">
        <v>458</v>
      </c>
      <c r="H325" t="s">
        <v>559</v>
      </c>
      <c r="I325" t="s">
        <v>569</v>
      </c>
      <c r="J325" s="2">
        <v>45947</v>
      </c>
      <c r="K325" s="2">
        <v>45950</v>
      </c>
      <c r="L325">
        <v>325</v>
      </c>
      <c r="M325" t="s">
        <v>597</v>
      </c>
      <c r="N325" t="s">
        <v>696</v>
      </c>
    </row>
    <row r="326" spans="2:14" ht="16.5" x14ac:dyDescent="0.25">
      <c r="B326" s="4">
        <v>45692</v>
      </c>
      <c r="C326" t="s">
        <v>11</v>
      </c>
      <c r="D326" t="s">
        <v>106</v>
      </c>
      <c r="E326" t="s">
        <v>203</v>
      </c>
      <c r="F326" t="s">
        <v>458</v>
      </c>
      <c r="H326" t="s">
        <v>559</v>
      </c>
      <c r="I326" t="s">
        <v>569</v>
      </c>
      <c r="J326" s="2">
        <v>45947</v>
      </c>
      <c r="K326" s="2">
        <v>45950</v>
      </c>
      <c r="L326">
        <v>326</v>
      </c>
      <c r="M326" t="s">
        <v>597</v>
      </c>
      <c r="N326" t="s">
        <v>696</v>
      </c>
    </row>
    <row r="327" spans="2:14" ht="16.5" x14ac:dyDescent="0.25">
      <c r="B327" s="4">
        <v>45728</v>
      </c>
      <c r="C327" t="s">
        <v>22</v>
      </c>
      <c r="D327" t="s">
        <v>105</v>
      </c>
      <c r="E327" t="s">
        <v>221</v>
      </c>
      <c r="F327" t="s">
        <v>459</v>
      </c>
      <c r="H327" t="s">
        <v>559</v>
      </c>
      <c r="I327" t="s">
        <v>569</v>
      </c>
      <c r="J327" s="2">
        <v>45947</v>
      </c>
      <c r="K327" s="2">
        <v>45950</v>
      </c>
      <c r="L327">
        <v>327</v>
      </c>
      <c r="M327" t="s">
        <v>596</v>
      </c>
      <c r="N327" t="s">
        <v>694</v>
      </c>
    </row>
    <row r="328" spans="2:14" ht="16.5" x14ac:dyDescent="0.25">
      <c r="B328" s="4">
        <v>45728</v>
      </c>
      <c r="C328" t="s">
        <v>22</v>
      </c>
      <c r="D328" t="s">
        <v>105</v>
      </c>
      <c r="E328" t="s">
        <v>203</v>
      </c>
      <c r="F328" t="s">
        <v>459</v>
      </c>
      <c r="H328" t="s">
        <v>559</v>
      </c>
      <c r="I328" t="s">
        <v>569</v>
      </c>
      <c r="J328" s="2">
        <v>45947</v>
      </c>
      <c r="K328" s="2">
        <v>45950</v>
      </c>
      <c r="L328">
        <v>328</v>
      </c>
      <c r="M328" t="s">
        <v>596</v>
      </c>
      <c r="N328" t="s">
        <v>694</v>
      </c>
    </row>
    <row r="329" spans="2:14" ht="16.5" x14ac:dyDescent="0.25">
      <c r="B329" s="4">
        <v>45904</v>
      </c>
      <c r="C329" t="s">
        <v>74</v>
      </c>
      <c r="D329" t="s">
        <v>185</v>
      </c>
      <c r="E329" t="s">
        <v>304</v>
      </c>
      <c r="F329" t="s">
        <v>459</v>
      </c>
      <c r="H329" t="s">
        <v>559</v>
      </c>
      <c r="I329" t="s">
        <v>569</v>
      </c>
      <c r="J329" s="2">
        <v>45947</v>
      </c>
      <c r="K329" s="2">
        <v>45950</v>
      </c>
      <c r="L329">
        <v>329</v>
      </c>
      <c r="M329" t="s">
        <v>664</v>
      </c>
      <c r="N329" t="s">
        <v>772</v>
      </c>
    </row>
    <row r="330" spans="2:14" ht="16.5" x14ac:dyDescent="0.25">
      <c r="B330" s="4">
        <v>45904</v>
      </c>
      <c r="C330" t="s">
        <v>74</v>
      </c>
      <c r="D330" t="s">
        <v>185</v>
      </c>
      <c r="E330" t="s">
        <v>208</v>
      </c>
      <c r="F330" t="s">
        <v>459</v>
      </c>
      <c r="H330" t="s">
        <v>559</v>
      </c>
      <c r="I330" t="s">
        <v>569</v>
      </c>
      <c r="J330" s="2">
        <v>45947</v>
      </c>
      <c r="K330" s="2">
        <v>45950</v>
      </c>
      <c r="L330">
        <v>330</v>
      </c>
      <c r="M330" t="s">
        <v>664</v>
      </c>
      <c r="N330" t="s">
        <v>772</v>
      </c>
    </row>
    <row r="331" spans="2:14" ht="16.5" x14ac:dyDescent="0.25">
      <c r="B331" s="4">
        <v>45923</v>
      </c>
      <c r="C331" t="s">
        <v>58</v>
      </c>
      <c r="D331" t="s">
        <v>174</v>
      </c>
      <c r="E331" t="s">
        <v>300</v>
      </c>
      <c r="F331" t="s">
        <v>460</v>
      </c>
      <c r="H331" t="s">
        <v>559</v>
      </c>
      <c r="I331" t="s">
        <v>569</v>
      </c>
      <c r="J331" s="2">
        <v>45947</v>
      </c>
      <c r="K331" s="2">
        <v>45950</v>
      </c>
      <c r="L331">
        <v>331</v>
      </c>
      <c r="M331" t="s">
        <v>664</v>
      </c>
      <c r="N331" t="s">
        <v>769</v>
      </c>
    </row>
    <row r="332" spans="2:14" ht="16.5" x14ac:dyDescent="0.25">
      <c r="B332" s="4">
        <v>45923</v>
      </c>
      <c r="C332" t="s">
        <v>58</v>
      </c>
      <c r="D332" t="s">
        <v>174</v>
      </c>
      <c r="E332" t="s">
        <v>203</v>
      </c>
      <c r="F332" t="s">
        <v>460</v>
      </c>
      <c r="H332" t="s">
        <v>559</v>
      </c>
      <c r="I332" t="s">
        <v>569</v>
      </c>
      <c r="J332" s="2">
        <v>45947</v>
      </c>
      <c r="K332" s="2">
        <v>45950</v>
      </c>
      <c r="L332">
        <v>332</v>
      </c>
      <c r="M332" t="s">
        <v>664</v>
      </c>
      <c r="N332" t="s">
        <v>769</v>
      </c>
    </row>
    <row r="333" spans="2:14" ht="16.5" x14ac:dyDescent="0.25">
      <c r="B333" s="4">
        <v>45908</v>
      </c>
      <c r="C333" t="s">
        <v>7</v>
      </c>
      <c r="D333" t="s">
        <v>186</v>
      </c>
      <c r="E333" t="s">
        <v>305</v>
      </c>
      <c r="F333" t="s">
        <v>461</v>
      </c>
      <c r="H333" t="s">
        <v>559</v>
      </c>
      <c r="I333" t="s">
        <v>570</v>
      </c>
      <c r="J333" s="2">
        <v>45951</v>
      </c>
      <c r="K333" s="2">
        <v>45952</v>
      </c>
      <c r="L333">
        <v>333</v>
      </c>
      <c r="M333" t="s">
        <v>665</v>
      </c>
      <c r="N333" t="s">
        <v>773</v>
      </c>
    </row>
    <row r="334" spans="2:14" ht="16.5" x14ac:dyDescent="0.25">
      <c r="B334" s="4">
        <v>45908</v>
      </c>
      <c r="C334" t="s">
        <v>7</v>
      </c>
      <c r="D334" t="s">
        <v>186</v>
      </c>
      <c r="E334" t="s">
        <v>203</v>
      </c>
      <c r="F334" t="s">
        <v>461</v>
      </c>
      <c r="H334" t="s">
        <v>559</v>
      </c>
      <c r="I334" t="s">
        <v>570</v>
      </c>
      <c r="J334" s="2">
        <v>45951</v>
      </c>
      <c r="K334" s="2">
        <v>45952</v>
      </c>
      <c r="L334">
        <v>334</v>
      </c>
      <c r="M334" t="s">
        <v>665</v>
      </c>
      <c r="N334" t="s">
        <v>773</v>
      </c>
    </row>
    <row r="335" spans="2:14" ht="16.5" x14ac:dyDescent="0.25">
      <c r="B335" s="4">
        <v>45923</v>
      </c>
      <c r="C335" t="s">
        <v>58</v>
      </c>
      <c r="D335" t="s">
        <v>174</v>
      </c>
      <c r="E335" t="s">
        <v>300</v>
      </c>
      <c r="F335" t="s">
        <v>462</v>
      </c>
      <c r="H335" t="s">
        <v>559</v>
      </c>
      <c r="I335" t="s">
        <v>572</v>
      </c>
      <c r="J335" s="2">
        <v>45953</v>
      </c>
      <c r="K335" s="2">
        <v>45954</v>
      </c>
      <c r="L335">
        <v>335</v>
      </c>
      <c r="M335" t="s">
        <v>665</v>
      </c>
      <c r="N335" t="s">
        <v>769</v>
      </c>
    </row>
    <row r="336" spans="2:14" ht="16.5" x14ac:dyDescent="0.25">
      <c r="B336" s="4">
        <v>45923</v>
      </c>
      <c r="C336" t="s">
        <v>58</v>
      </c>
      <c r="D336" t="s">
        <v>174</v>
      </c>
      <c r="E336" t="s">
        <v>203</v>
      </c>
      <c r="F336" t="s">
        <v>462</v>
      </c>
      <c r="H336" t="s">
        <v>559</v>
      </c>
      <c r="I336" t="s">
        <v>572</v>
      </c>
      <c r="J336" s="2">
        <v>45953</v>
      </c>
      <c r="K336" s="2">
        <v>45954</v>
      </c>
      <c r="L336">
        <v>336</v>
      </c>
      <c r="M336" t="s">
        <v>665</v>
      </c>
      <c r="N336" t="s">
        <v>769</v>
      </c>
    </row>
    <row r="337" spans="1:14" ht="16.5" x14ac:dyDescent="0.25">
      <c r="B337" s="4">
        <v>45931</v>
      </c>
      <c r="C337" t="s">
        <v>71</v>
      </c>
      <c r="D337" t="s">
        <v>182</v>
      </c>
      <c r="E337" t="s">
        <v>301</v>
      </c>
      <c r="F337" t="s">
        <v>462</v>
      </c>
      <c r="H337" t="s">
        <v>559</v>
      </c>
      <c r="I337" t="s">
        <v>572</v>
      </c>
      <c r="J337" s="2">
        <v>45953</v>
      </c>
      <c r="K337" s="2">
        <v>45954</v>
      </c>
      <c r="L337">
        <v>337</v>
      </c>
      <c r="M337" t="s">
        <v>661</v>
      </c>
      <c r="N337" t="s">
        <v>770</v>
      </c>
    </row>
    <row r="338" spans="1:14" ht="16.5" x14ac:dyDescent="0.25">
      <c r="B338" s="4">
        <v>45931</v>
      </c>
      <c r="C338" t="s">
        <v>71</v>
      </c>
      <c r="D338" t="s">
        <v>182</v>
      </c>
      <c r="E338" t="s">
        <v>208</v>
      </c>
      <c r="F338" t="s">
        <v>462</v>
      </c>
      <c r="H338" t="s">
        <v>559</v>
      </c>
      <c r="I338" t="s">
        <v>572</v>
      </c>
      <c r="J338" s="2">
        <v>45953</v>
      </c>
      <c r="K338" s="2">
        <v>45954</v>
      </c>
      <c r="L338">
        <v>338</v>
      </c>
      <c r="M338" t="s">
        <v>661</v>
      </c>
      <c r="N338" t="s">
        <v>770</v>
      </c>
    </row>
    <row r="339" spans="1:14" ht="16.5" x14ac:dyDescent="0.25">
      <c r="B339" s="4">
        <v>45693</v>
      </c>
      <c r="C339" t="s">
        <v>13</v>
      </c>
      <c r="D339" t="s">
        <v>90</v>
      </c>
      <c r="E339" t="s">
        <v>206</v>
      </c>
      <c r="F339" t="s">
        <v>463</v>
      </c>
      <c r="H339" t="s">
        <v>559</v>
      </c>
      <c r="I339" t="s">
        <v>567</v>
      </c>
      <c r="J339" s="2">
        <v>45955</v>
      </c>
      <c r="K339" s="2">
        <v>45956</v>
      </c>
      <c r="L339">
        <v>339</v>
      </c>
      <c r="M339" t="s">
        <v>583</v>
      </c>
      <c r="N339" t="s">
        <v>681</v>
      </c>
    </row>
    <row r="340" spans="1:14" ht="16.5" x14ac:dyDescent="0.25">
      <c r="B340" s="4">
        <v>45693</v>
      </c>
      <c r="C340" t="s">
        <v>13</v>
      </c>
      <c r="D340" t="s">
        <v>90</v>
      </c>
      <c r="E340" t="s">
        <v>203</v>
      </c>
      <c r="F340" t="s">
        <v>463</v>
      </c>
      <c r="H340" t="s">
        <v>559</v>
      </c>
      <c r="I340" t="s">
        <v>567</v>
      </c>
      <c r="J340" s="2">
        <v>45955</v>
      </c>
      <c r="K340" s="2">
        <v>45956</v>
      </c>
      <c r="L340">
        <v>340</v>
      </c>
      <c r="M340" t="s">
        <v>583</v>
      </c>
      <c r="N340" t="s">
        <v>681</v>
      </c>
    </row>
    <row r="341" spans="1:14" ht="16.5" x14ac:dyDescent="0.25">
      <c r="A341" t="s">
        <v>0</v>
      </c>
      <c r="B341" s="4">
        <v>45936</v>
      </c>
      <c r="C341" t="s">
        <v>75</v>
      </c>
      <c r="D341" t="s">
        <v>187</v>
      </c>
      <c r="E341" t="s">
        <v>306</v>
      </c>
      <c r="F341" t="s">
        <v>464</v>
      </c>
      <c r="H341" t="s">
        <v>560</v>
      </c>
      <c r="I341" t="s">
        <v>565</v>
      </c>
      <c r="J341" s="2">
        <v>45957</v>
      </c>
      <c r="K341" s="2">
        <v>45958</v>
      </c>
      <c r="L341">
        <v>341</v>
      </c>
      <c r="M341" t="s">
        <v>666</v>
      </c>
      <c r="N341" t="s">
        <v>774</v>
      </c>
    </row>
    <row r="342" spans="1:14" ht="16.5" x14ac:dyDescent="0.25">
      <c r="A342" t="s">
        <v>0</v>
      </c>
      <c r="B342" s="4">
        <v>45936</v>
      </c>
      <c r="C342" t="s">
        <v>75</v>
      </c>
      <c r="D342" t="s">
        <v>187</v>
      </c>
      <c r="E342" t="s">
        <v>203</v>
      </c>
      <c r="F342" t="s">
        <v>464</v>
      </c>
      <c r="H342" t="s">
        <v>560</v>
      </c>
      <c r="I342" t="s">
        <v>565</v>
      </c>
      <c r="J342" s="2">
        <v>45957</v>
      </c>
      <c r="K342" s="2">
        <v>45958</v>
      </c>
      <c r="L342">
        <v>342</v>
      </c>
      <c r="M342" t="s">
        <v>666</v>
      </c>
      <c r="N342" t="s">
        <v>774</v>
      </c>
    </row>
    <row r="343" spans="1:14" ht="16.5" x14ac:dyDescent="0.25">
      <c r="A343" t="s">
        <v>0</v>
      </c>
      <c r="B343" s="4">
        <v>45884</v>
      </c>
      <c r="C343" t="s">
        <v>76</v>
      </c>
      <c r="D343" t="s">
        <v>188</v>
      </c>
      <c r="E343" t="s">
        <v>307</v>
      </c>
      <c r="F343" t="s">
        <v>465</v>
      </c>
      <c r="H343" t="s">
        <v>577</v>
      </c>
      <c r="I343" t="s">
        <v>565</v>
      </c>
      <c r="J343" s="2">
        <v>45959</v>
      </c>
      <c r="K343" s="2">
        <v>45959</v>
      </c>
      <c r="L343">
        <v>343</v>
      </c>
      <c r="M343" t="s">
        <v>667</v>
      </c>
      <c r="N343" t="s">
        <v>775</v>
      </c>
    </row>
    <row r="344" spans="1:14" ht="16.5" x14ac:dyDescent="0.25">
      <c r="A344" t="s">
        <v>0</v>
      </c>
      <c r="B344" s="4">
        <v>45884</v>
      </c>
      <c r="C344" t="s">
        <v>76</v>
      </c>
      <c r="D344" t="s">
        <v>188</v>
      </c>
      <c r="E344" t="s">
        <v>203</v>
      </c>
      <c r="F344" t="s">
        <v>465</v>
      </c>
      <c r="H344" t="s">
        <v>577</v>
      </c>
      <c r="I344" t="s">
        <v>565</v>
      </c>
      <c r="J344" s="2">
        <v>45959</v>
      </c>
      <c r="K344" s="2">
        <v>45959</v>
      </c>
      <c r="L344">
        <v>344</v>
      </c>
      <c r="M344" t="s">
        <v>667</v>
      </c>
      <c r="N344" t="s">
        <v>775</v>
      </c>
    </row>
    <row r="345" spans="1:14" ht="16.5" x14ac:dyDescent="0.25">
      <c r="B345" s="4">
        <v>45947</v>
      </c>
      <c r="C345" t="s">
        <v>77</v>
      </c>
      <c r="D345" t="s">
        <v>189</v>
      </c>
      <c r="E345" t="s">
        <v>308</v>
      </c>
      <c r="F345" t="s">
        <v>466</v>
      </c>
      <c r="H345" t="s">
        <v>561</v>
      </c>
      <c r="I345" t="s">
        <v>572</v>
      </c>
      <c r="J345" s="2">
        <v>45957</v>
      </c>
      <c r="K345" s="2">
        <v>45958</v>
      </c>
      <c r="L345">
        <v>345</v>
      </c>
      <c r="M345" t="s">
        <v>668</v>
      </c>
      <c r="N345" t="s">
        <v>776</v>
      </c>
    </row>
    <row r="346" spans="1:14" ht="16.5" x14ac:dyDescent="0.25">
      <c r="B346" s="4">
        <v>45947</v>
      </c>
      <c r="C346" t="s">
        <v>77</v>
      </c>
      <c r="D346" t="s">
        <v>189</v>
      </c>
      <c r="E346" t="s">
        <v>203</v>
      </c>
      <c r="F346" t="s">
        <v>466</v>
      </c>
      <c r="H346" t="s">
        <v>561</v>
      </c>
      <c r="I346" t="s">
        <v>572</v>
      </c>
      <c r="J346" s="2">
        <v>45957</v>
      </c>
      <c r="K346" s="2">
        <v>45958</v>
      </c>
      <c r="L346">
        <v>346</v>
      </c>
      <c r="M346" t="s">
        <v>668</v>
      </c>
      <c r="N346" t="s">
        <v>776</v>
      </c>
    </row>
    <row r="347" spans="1:14" ht="16.5" x14ac:dyDescent="0.25">
      <c r="A347" t="s">
        <v>1</v>
      </c>
      <c r="B347" s="4">
        <v>45940</v>
      </c>
      <c r="C347" t="s">
        <v>78</v>
      </c>
      <c r="D347" t="s">
        <v>190</v>
      </c>
      <c r="E347" t="s">
        <v>309</v>
      </c>
      <c r="F347" t="s">
        <v>467</v>
      </c>
      <c r="H347" t="s">
        <v>562</v>
      </c>
      <c r="I347" t="s">
        <v>566</v>
      </c>
      <c r="J347" s="2">
        <v>45959</v>
      </c>
      <c r="K347" s="2">
        <v>45960</v>
      </c>
      <c r="L347">
        <v>347</v>
      </c>
      <c r="M347" t="s">
        <v>669</v>
      </c>
      <c r="N347" t="s">
        <v>777</v>
      </c>
    </row>
    <row r="348" spans="1:14" ht="16.5" x14ac:dyDescent="0.25">
      <c r="A348" t="s">
        <v>2</v>
      </c>
      <c r="B348" s="4">
        <v>45940</v>
      </c>
      <c r="C348" t="s">
        <v>78</v>
      </c>
      <c r="D348" t="s">
        <v>190</v>
      </c>
      <c r="E348" t="s">
        <v>203</v>
      </c>
      <c r="F348" t="s">
        <v>467</v>
      </c>
      <c r="H348" t="s">
        <v>562</v>
      </c>
      <c r="I348" t="s">
        <v>576</v>
      </c>
      <c r="J348" s="2">
        <v>45959</v>
      </c>
      <c r="K348" s="2">
        <v>45960</v>
      </c>
      <c r="L348">
        <v>348</v>
      </c>
      <c r="M348" t="s">
        <v>669</v>
      </c>
      <c r="N348" t="s">
        <v>777</v>
      </c>
    </row>
    <row r="349" spans="1:14" ht="16.5" x14ac:dyDescent="0.25">
      <c r="B349" s="4">
        <v>45925</v>
      </c>
      <c r="C349" t="s">
        <v>77</v>
      </c>
      <c r="D349" t="s">
        <v>191</v>
      </c>
      <c r="E349" t="s">
        <v>310</v>
      </c>
      <c r="F349" t="s">
        <v>468</v>
      </c>
      <c r="H349" t="s">
        <v>562</v>
      </c>
      <c r="I349" t="s">
        <v>564</v>
      </c>
      <c r="J349" s="2">
        <v>45961</v>
      </c>
      <c r="K349" s="2">
        <v>45962</v>
      </c>
      <c r="L349">
        <v>349</v>
      </c>
      <c r="M349" t="s">
        <v>669</v>
      </c>
      <c r="N349" t="s">
        <v>778</v>
      </c>
    </row>
    <row r="350" spans="1:14" ht="16.5" x14ac:dyDescent="0.25">
      <c r="B350" s="4">
        <v>45925</v>
      </c>
      <c r="C350" t="s">
        <v>77</v>
      </c>
      <c r="D350" t="s">
        <v>191</v>
      </c>
      <c r="E350" t="s">
        <v>208</v>
      </c>
      <c r="F350" t="s">
        <v>468</v>
      </c>
      <c r="H350" t="s">
        <v>562</v>
      </c>
      <c r="I350" t="s">
        <v>564</v>
      </c>
      <c r="J350" s="2">
        <v>45961</v>
      </c>
      <c r="K350" s="2">
        <v>45962</v>
      </c>
      <c r="L350">
        <v>350</v>
      </c>
      <c r="M350" t="s">
        <v>669</v>
      </c>
      <c r="N350" t="s">
        <v>778</v>
      </c>
    </row>
    <row r="351" spans="1:14" ht="16.5" x14ac:dyDescent="0.25">
      <c r="B351" s="4">
        <v>45950</v>
      </c>
      <c r="C351" t="s">
        <v>47</v>
      </c>
      <c r="D351" t="s">
        <v>192</v>
      </c>
      <c r="E351" t="s">
        <v>311</v>
      </c>
      <c r="F351" t="s">
        <v>469</v>
      </c>
      <c r="H351" t="s">
        <v>562</v>
      </c>
      <c r="I351" t="s">
        <v>564</v>
      </c>
      <c r="J351" s="2">
        <v>45961</v>
      </c>
      <c r="K351" s="2">
        <v>45962</v>
      </c>
      <c r="L351">
        <v>351</v>
      </c>
      <c r="M351" t="s">
        <v>670</v>
      </c>
      <c r="N351" t="s">
        <v>779</v>
      </c>
    </row>
    <row r="352" spans="1:14" ht="16.5" x14ac:dyDescent="0.25">
      <c r="B352" s="4">
        <v>45950</v>
      </c>
      <c r="C352" t="s">
        <v>47</v>
      </c>
      <c r="D352" t="s">
        <v>192</v>
      </c>
      <c r="E352" t="s">
        <v>208</v>
      </c>
      <c r="F352" t="s">
        <v>469</v>
      </c>
      <c r="H352" t="s">
        <v>562</v>
      </c>
      <c r="I352" t="s">
        <v>564</v>
      </c>
      <c r="J352" s="2">
        <v>45961</v>
      </c>
      <c r="K352" s="2">
        <v>45962</v>
      </c>
      <c r="L352">
        <v>352</v>
      </c>
      <c r="M352" t="s">
        <v>670</v>
      </c>
      <c r="N352" t="s">
        <v>779</v>
      </c>
    </row>
    <row r="353" spans="1:14" ht="16.5" x14ac:dyDescent="0.25">
      <c r="B353" s="4">
        <v>45923</v>
      </c>
      <c r="C353" t="s">
        <v>58</v>
      </c>
      <c r="D353" t="s">
        <v>174</v>
      </c>
      <c r="E353" t="s">
        <v>300</v>
      </c>
      <c r="F353" t="s">
        <v>470</v>
      </c>
      <c r="H353" t="s">
        <v>562</v>
      </c>
      <c r="I353" t="s">
        <v>564</v>
      </c>
      <c r="J353" s="2">
        <v>45963</v>
      </c>
      <c r="K353" s="2">
        <v>45964</v>
      </c>
      <c r="L353">
        <v>353</v>
      </c>
      <c r="M353" t="s">
        <v>670</v>
      </c>
      <c r="N353" t="s">
        <v>769</v>
      </c>
    </row>
    <row r="354" spans="1:14" ht="16.5" x14ac:dyDescent="0.25">
      <c r="B354" s="4">
        <v>45923</v>
      </c>
      <c r="C354" t="s">
        <v>58</v>
      </c>
      <c r="D354" t="s">
        <v>174</v>
      </c>
      <c r="E354" t="s">
        <v>208</v>
      </c>
      <c r="F354" t="s">
        <v>470</v>
      </c>
      <c r="H354" t="s">
        <v>562</v>
      </c>
      <c r="I354" t="s">
        <v>564</v>
      </c>
      <c r="J354" s="2">
        <v>45963</v>
      </c>
      <c r="K354" s="2">
        <v>45964</v>
      </c>
      <c r="L354">
        <v>354</v>
      </c>
      <c r="M354" t="s">
        <v>670</v>
      </c>
      <c r="N354" t="s">
        <v>769</v>
      </c>
    </row>
    <row r="355" spans="1:14" ht="30" x14ac:dyDescent="0.25">
      <c r="B355" s="4">
        <v>45958</v>
      </c>
      <c r="C355" t="s">
        <v>785</v>
      </c>
      <c r="D355" t="s">
        <v>784</v>
      </c>
      <c r="E355" t="s">
        <v>786</v>
      </c>
      <c r="F355" t="s">
        <v>789</v>
      </c>
      <c r="H355" s="5" t="s">
        <v>562</v>
      </c>
      <c r="I355" t="s">
        <v>564</v>
      </c>
      <c r="J355" s="2">
        <v>45963</v>
      </c>
      <c r="K355" s="2">
        <v>45964</v>
      </c>
      <c r="L355">
        <v>355</v>
      </c>
      <c r="M355" t="s">
        <v>787</v>
      </c>
      <c r="N355" t="s">
        <v>788</v>
      </c>
    </row>
    <row r="356" spans="1:14" ht="30" x14ac:dyDescent="0.25">
      <c r="B356" s="4">
        <v>45958</v>
      </c>
      <c r="C356" t="s">
        <v>785</v>
      </c>
      <c r="D356" t="s">
        <v>784</v>
      </c>
      <c r="E356" t="s">
        <v>203</v>
      </c>
      <c r="F356" t="s">
        <v>789</v>
      </c>
      <c r="H356" s="5" t="s">
        <v>562</v>
      </c>
      <c r="I356" t="s">
        <v>564</v>
      </c>
      <c r="J356" s="2">
        <v>45963</v>
      </c>
      <c r="K356" s="2">
        <v>45964</v>
      </c>
      <c r="L356">
        <v>356</v>
      </c>
      <c r="M356" t="s">
        <v>787</v>
      </c>
      <c r="N356" t="s">
        <v>788</v>
      </c>
    </row>
    <row r="357" spans="1:14" ht="16.5" x14ac:dyDescent="0.25">
      <c r="B357" s="4">
        <v>45693</v>
      </c>
      <c r="C357" t="s">
        <v>13</v>
      </c>
      <c r="D357" t="s">
        <v>90</v>
      </c>
      <c r="E357" t="s">
        <v>206</v>
      </c>
      <c r="F357" t="s">
        <v>471</v>
      </c>
      <c r="H357" t="s">
        <v>562</v>
      </c>
      <c r="I357" t="s">
        <v>570</v>
      </c>
      <c r="J357" s="2">
        <v>45965</v>
      </c>
      <c r="K357" s="2">
        <v>45966</v>
      </c>
      <c r="L357">
        <v>357</v>
      </c>
      <c r="M357" t="s">
        <v>583</v>
      </c>
      <c r="N357" t="s">
        <v>681</v>
      </c>
    </row>
    <row r="358" spans="1:14" ht="16.5" x14ac:dyDescent="0.25">
      <c r="B358" s="4">
        <v>45693</v>
      </c>
      <c r="C358" t="s">
        <v>13</v>
      </c>
      <c r="D358" t="s">
        <v>90</v>
      </c>
      <c r="E358" t="s">
        <v>208</v>
      </c>
      <c r="F358" t="s">
        <v>471</v>
      </c>
      <c r="H358" t="s">
        <v>562</v>
      </c>
      <c r="I358" t="s">
        <v>570</v>
      </c>
      <c r="J358" s="2">
        <v>45965</v>
      </c>
      <c r="K358" s="2">
        <v>45966</v>
      </c>
      <c r="L358">
        <v>358</v>
      </c>
      <c r="M358" t="s">
        <v>583</v>
      </c>
      <c r="N358" t="s">
        <v>681</v>
      </c>
    </row>
    <row r="359" spans="1:14" ht="16.5" x14ac:dyDescent="0.25">
      <c r="A359" t="s">
        <v>0</v>
      </c>
      <c r="B359" s="4"/>
      <c r="C359" t="s">
        <v>79</v>
      </c>
      <c r="D359" t="s">
        <v>193</v>
      </c>
      <c r="F359" t="s">
        <v>472</v>
      </c>
      <c r="H359" t="s">
        <v>577</v>
      </c>
      <c r="I359" t="s">
        <v>565</v>
      </c>
      <c r="J359" s="2">
        <v>45970</v>
      </c>
      <c r="K359" s="2">
        <v>45971</v>
      </c>
      <c r="L359">
        <v>359</v>
      </c>
      <c r="M359" t="s">
        <v>583</v>
      </c>
      <c r="N359" t="s">
        <v>681</v>
      </c>
    </row>
    <row r="360" spans="1:14" ht="16.5" x14ac:dyDescent="0.25">
      <c r="A360" t="s">
        <v>0</v>
      </c>
      <c r="B360" s="4"/>
      <c r="C360" t="s">
        <v>79</v>
      </c>
      <c r="D360" t="s">
        <v>193</v>
      </c>
      <c r="F360" t="s">
        <v>472</v>
      </c>
      <c r="H360" t="s">
        <v>577</v>
      </c>
      <c r="I360" t="s">
        <v>565</v>
      </c>
      <c r="J360" s="2">
        <v>45970</v>
      </c>
      <c r="K360" s="2">
        <v>45971</v>
      </c>
      <c r="L360">
        <v>360</v>
      </c>
      <c r="M360" t="s">
        <v>583</v>
      </c>
      <c r="N360" t="s">
        <v>681</v>
      </c>
    </row>
    <row r="361" spans="1:14" ht="16.5" x14ac:dyDescent="0.25">
      <c r="A361" t="s">
        <v>0</v>
      </c>
      <c r="B361" s="4">
        <v>45946</v>
      </c>
      <c r="C361" t="s">
        <v>80</v>
      </c>
      <c r="D361" t="s">
        <v>194</v>
      </c>
      <c r="F361" t="s">
        <v>473</v>
      </c>
      <c r="H361" t="s">
        <v>577</v>
      </c>
      <c r="I361" t="s">
        <v>565</v>
      </c>
      <c r="J361" s="2">
        <v>45973</v>
      </c>
      <c r="K361" s="2">
        <v>45973</v>
      </c>
      <c r="L361">
        <v>361</v>
      </c>
      <c r="M361" t="s">
        <v>671</v>
      </c>
      <c r="N361" t="s">
        <v>681</v>
      </c>
    </row>
    <row r="362" spans="1:14" ht="16.5" x14ac:dyDescent="0.25">
      <c r="A362" t="s">
        <v>0</v>
      </c>
      <c r="B362" s="4">
        <v>45946</v>
      </c>
      <c r="C362" t="s">
        <v>80</v>
      </c>
      <c r="D362" t="s">
        <v>194</v>
      </c>
      <c r="F362" t="s">
        <v>473</v>
      </c>
      <c r="H362" t="s">
        <v>577</v>
      </c>
      <c r="I362" t="s">
        <v>565</v>
      </c>
      <c r="J362" s="2">
        <v>45973</v>
      </c>
      <c r="K362" s="2">
        <v>45973</v>
      </c>
      <c r="L362">
        <v>362</v>
      </c>
      <c r="M362" t="s">
        <v>671</v>
      </c>
      <c r="N362" t="s">
        <v>681</v>
      </c>
    </row>
    <row r="363" spans="1:14" ht="16.5" x14ac:dyDescent="0.25">
      <c r="B363" s="4">
        <v>45692</v>
      </c>
      <c r="C363" t="s">
        <v>11</v>
      </c>
      <c r="D363" t="s">
        <v>106</v>
      </c>
      <c r="E363" t="s">
        <v>223</v>
      </c>
      <c r="F363" t="s">
        <v>474</v>
      </c>
      <c r="H363" t="s">
        <v>563</v>
      </c>
      <c r="I363" t="s">
        <v>566</v>
      </c>
      <c r="J363" s="2">
        <v>45973</v>
      </c>
      <c r="K363" s="2">
        <v>45977</v>
      </c>
      <c r="L363">
        <v>363</v>
      </c>
      <c r="M363" t="s">
        <v>597</v>
      </c>
      <c r="N363" t="s">
        <v>696</v>
      </c>
    </row>
    <row r="364" spans="1:14" ht="16.5" x14ac:dyDescent="0.25">
      <c r="B364" s="4">
        <v>45692</v>
      </c>
      <c r="C364" t="s">
        <v>11</v>
      </c>
      <c r="D364" t="s">
        <v>106</v>
      </c>
      <c r="E364" t="s">
        <v>208</v>
      </c>
      <c r="F364" t="s">
        <v>474</v>
      </c>
      <c r="H364" t="s">
        <v>563</v>
      </c>
      <c r="I364" t="s">
        <v>566</v>
      </c>
      <c r="J364" s="2">
        <v>45973</v>
      </c>
      <c r="K364" s="2">
        <v>45977</v>
      </c>
      <c r="L364">
        <v>364</v>
      </c>
      <c r="M364" t="s">
        <v>597</v>
      </c>
      <c r="N364" t="s">
        <v>696</v>
      </c>
    </row>
    <row r="365" spans="1:14" ht="16.5" x14ac:dyDescent="0.25">
      <c r="B365" s="4">
        <v>45923</v>
      </c>
      <c r="C365" t="s">
        <v>58</v>
      </c>
      <c r="D365" t="s">
        <v>174</v>
      </c>
      <c r="E365" t="s">
        <v>300</v>
      </c>
      <c r="F365" t="s">
        <v>475</v>
      </c>
      <c r="H365" t="s">
        <v>563</v>
      </c>
      <c r="I365" t="s">
        <v>566</v>
      </c>
      <c r="J365" s="2">
        <v>45974</v>
      </c>
      <c r="K365" s="2">
        <v>45975</v>
      </c>
      <c r="L365">
        <v>365</v>
      </c>
      <c r="M365" t="s">
        <v>597</v>
      </c>
      <c r="N365" t="s">
        <v>769</v>
      </c>
    </row>
    <row r="366" spans="1:14" ht="16.5" x14ac:dyDescent="0.25">
      <c r="B366" s="4">
        <v>45923</v>
      </c>
      <c r="C366" t="s">
        <v>58</v>
      </c>
      <c r="D366" t="s">
        <v>174</v>
      </c>
      <c r="E366" t="s">
        <v>208</v>
      </c>
      <c r="F366" t="s">
        <v>475</v>
      </c>
      <c r="H366" t="s">
        <v>563</v>
      </c>
      <c r="I366" t="s">
        <v>566</v>
      </c>
      <c r="J366" s="2">
        <v>45974</v>
      </c>
      <c r="K366" s="2">
        <v>45975</v>
      </c>
      <c r="L366">
        <v>366</v>
      </c>
      <c r="M366" t="s">
        <v>597</v>
      </c>
      <c r="N366" t="s">
        <v>769</v>
      </c>
    </row>
    <row r="367" spans="1:14" ht="16.5" x14ac:dyDescent="0.25">
      <c r="B367" s="4">
        <v>45923</v>
      </c>
      <c r="C367" t="s">
        <v>16</v>
      </c>
      <c r="D367" t="s">
        <v>195</v>
      </c>
      <c r="E367" t="s">
        <v>312</v>
      </c>
      <c r="F367" t="s">
        <v>476</v>
      </c>
      <c r="H367" t="s">
        <v>563</v>
      </c>
      <c r="I367" t="s">
        <v>566</v>
      </c>
      <c r="J367" s="2">
        <v>45974</v>
      </c>
      <c r="K367" s="2">
        <v>45975</v>
      </c>
      <c r="L367">
        <v>367</v>
      </c>
      <c r="M367" t="s">
        <v>597</v>
      </c>
      <c r="N367" t="s">
        <v>780</v>
      </c>
    </row>
    <row r="368" spans="1:14" ht="16.5" x14ac:dyDescent="0.25">
      <c r="B368" s="4">
        <v>45923</v>
      </c>
      <c r="C368" t="s">
        <v>16</v>
      </c>
      <c r="D368" t="s">
        <v>195</v>
      </c>
      <c r="E368" t="s">
        <v>208</v>
      </c>
      <c r="F368" t="s">
        <v>476</v>
      </c>
      <c r="H368" t="s">
        <v>563</v>
      </c>
      <c r="I368" t="s">
        <v>566</v>
      </c>
      <c r="J368" s="2">
        <v>45974</v>
      </c>
      <c r="K368" s="2">
        <v>45975</v>
      </c>
      <c r="L368">
        <v>368</v>
      </c>
      <c r="M368" t="s">
        <v>597</v>
      </c>
      <c r="N368" t="s">
        <v>780</v>
      </c>
    </row>
    <row r="369" spans="2:14" ht="16.5" x14ac:dyDescent="0.25">
      <c r="B369" s="4">
        <v>45958</v>
      </c>
      <c r="C369" t="s">
        <v>785</v>
      </c>
      <c r="D369" t="s">
        <v>784</v>
      </c>
      <c r="E369" t="s">
        <v>786</v>
      </c>
      <c r="F369" t="s">
        <v>790</v>
      </c>
      <c r="H369" t="s">
        <v>563</v>
      </c>
      <c r="I369" t="s">
        <v>566</v>
      </c>
      <c r="J369" s="2">
        <v>45974</v>
      </c>
      <c r="K369" s="2">
        <v>45975</v>
      </c>
      <c r="L369">
        <v>369</v>
      </c>
      <c r="M369" t="s">
        <v>787</v>
      </c>
      <c r="N369" t="s">
        <v>788</v>
      </c>
    </row>
    <row r="370" spans="2:14" ht="16.5" x14ac:dyDescent="0.25">
      <c r="B370" s="4">
        <v>45958</v>
      </c>
      <c r="C370" t="s">
        <v>785</v>
      </c>
      <c r="D370" t="s">
        <v>784</v>
      </c>
      <c r="E370" t="s">
        <v>208</v>
      </c>
      <c r="F370" t="s">
        <v>790</v>
      </c>
      <c r="H370" t="s">
        <v>563</v>
      </c>
      <c r="I370" t="s">
        <v>566</v>
      </c>
      <c r="J370" s="2">
        <v>45974</v>
      </c>
      <c r="K370" s="2">
        <v>45975</v>
      </c>
      <c r="L370">
        <v>370</v>
      </c>
      <c r="M370" t="s">
        <v>787</v>
      </c>
      <c r="N370" t="s">
        <v>788</v>
      </c>
    </row>
    <row r="371" spans="2:14" ht="16.5" x14ac:dyDescent="0.25">
      <c r="B371" s="4">
        <v>45728</v>
      </c>
      <c r="C371" t="s">
        <v>22</v>
      </c>
      <c r="D371" t="s">
        <v>105</v>
      </c>
      <c r="E371" t="s">
        <v>221</v>
      </c>
      <c r="F371" t="s">
        <v>475</v>
      </c>
      <c r="H371" t="s">
        <v>563</v>
      </c>
      <c r="I371" t="s">
        <v>566</v>
      </c>
      <c r="J371" s="2">
        <v>45975</v>
      </c>
      <c r="K371" s="2">
        <v>45976</v>
      </c>
      <c r="L371">
        <v>371</v>
      </c>
      <c r="M371" t="s">
        <v>597</v>
      </c>
      <c r="N371" t="s">
        <v>694</v>
      </c>
    </row>
    <row r="372" spans="2:14" ht="16.5" x14ac:dyDescent="0.25">
      <c r="B372" s="4">
        <v>45728</v>
      </c>
      <c r="C372" t="s">
        <v>22</v>
      </c>
      <c r="D372" t="s">
        <v>105</v>
      </c>
      <c r="E372" t="s">
        <v>208</v>
      </c>
      <c r="F372" t="s">
        <v>475</v>
      </c>
      <c r="H372" t="s">
        <v>563</v>
      </c>
      <c r="I372" t="s">
        <v>566</v>
      </c>
      <c r="J372" s="2">
        <v>45975</v>
      </c>
      <c r="K372" s="2">
        <v>45976</v>
      </c>
      <c r="L372">
        <v>372</v>
      </c>
      <c r="M372" t="s">
        <v>597</v>
      </c>
      <c r="N372" t="s">
        <v>694</v>
      </c>
    </row>
    <row r="373" spans="2:14" ht="16.5" x14ac:dyDescent="0.25">
      <c r="B373" s="4">
        <v>45939</v>
      </c>
      <c r="C373" t="s">
        <v>36</v>
      </c>
      <c r="D373" t="s">
        <v>196</v>
      </c>
      <c r="E373" t="s">
        <v>313</v>
      </c>
      <c r="F373" t="s">
        <v>477</v>
      </c>
      <c r="H373" t="s">
        <v>563</v>
      </c>
      <c r="I373" t="s">
        <v>566</v>
      </c>
      <c r="J373" s="2">
        <v>45975</v>
      </c>
      <c r="K373" s="2">
        <v>45976</v>
      </c>
      <c r="L373">
        <v>373</v>
      </c>
      <c r="M373" t="s">
        <v>672</v>
      </c>
      <c r="N373" t="s">
        <v>781</v>
      </c>
    </row>
    <row r="374" spans="2:14" ht="16.5" x14ac:dyDescent="0.25">
      <c r="B374" s="4">
        <v>45939</v>
      </c>
      <c r="C374" t="s">
        <v>36</v>
      </c>
      <c r="D374" t="s">
        <v>196</v>
      </c>
      <c r="E374" t="s">
        <v>208</v>
      </c>
      <c r="F374" t="s">
        <v>477</v>
      </c>
      <c r="H374" t="s">
        <v>563</v>
      </c>
      <c r="I374" t="s">
        <v>566</v>
      </c>
      <c r="J374" s="2">
        <v>45975</v>
      </c>
      <c r="K374" s="2">
        <v>45976</v>
      </c>
      <c r="L374">
        <v>374</v>
      </c>
      <c r="M374" t="s">
        <v>672</v>
      </c>
      <c r="N374" t="s">
        <v>781</v>
      </c>
    </row>
    <row r="375" spans="2:14" ht="16.5" x14ac:dyDescent="0.25">
      <c r="B375" s="4">
        <v>45924</v>
      </c>
      <c r="C375" t="s">
        <v>81</v>
      </c>
      <c r="D375" t="s">
        <v>197</v>
      </c>
      <c r="E375" t="s">
        <v>314</v>
      </c>
      <c r="F375" t="s">
        <v>478</v>
      </c>
      <c r="H375" t="s">
        <v>563</v>
      </c>
      <c r="I375" t="s">
        <v>566</v>
      </c>
      <c r="J375" s="2">
        <v>45976</v>
      </c>
      <c r="K375" s="2">
        <v>45977</v>
      </c>
      <c r="L375">
        <v>375</v>
      </c>
      <c r="M375" t="s">
        <v>673</v>
      </c>
      <c r="N375" t="s">
        <v>782</v>
      </c>
    </row>
    <row r="376" spans="2:14" ht="16.5" x14ac:dyDescent="0.25">
      <c r="B376" s="4">
        <v>45924</v>
      </c>
      <c r="C376" t="s">
        <v>81</v>
      </c>
      <c r="D376" t="s">
        <v>197</v>
      </c>
      <c r="E376" t="s">
        <v>208</v>
      </c>
      <c r="F376" t="s">
        <v>478</v>
      </c>
      <c r="H376" t="s">
        <v>563</v>
      </c>
      <c r="I376" t="s">
        <v>566</v>
      </c>
      <c r="J376" s="2">
        <v>45976</v>
      </c>
      <c r="K376" s="2">
        <v>45977</v>
      </c>
      <c r="L376">
        <v>376</v>
      </c>
      <c r="M376" t="s">
        <v>673</v>
      </c>
      <c r="N376" t="s">
        <v>782</v>
      </c>
    </row>
    <row r="377" spans="2:14" ht="16.5" x14ac:dyDescent="0.25">
      <c r="B377" s="4">
        <v>45904</v>
      </c>
      <c r="C377" t="s">
        <v>74</v>
      </c>
      <c r="D377" t="s">
        <v>185</v>
      </c>
      <c r="E377" t="s">
        <v>304</v>
      </c>
      <c r="F377" t="s">
        <v>479</v>
      </c>
      <c r="H377" t="s">
        <v>563</v>
      </c>
      <c r="I377" t="s">
        <v>566</v>
      </c>
      <c r="J377" s="2">
        <v>45976</v>
      </c>
      <c r="K377" s="2">
        <v>45977</v>
      </c>
      <c r="L377">
        <v>377</v>
      </c>
      <c r="M377" t="s">
        <v>664</v>
      </c>
      <c r="N377" t="s">
        <v>772</v>
      </c>
    </row>
    <row r="378" spans="2:14" ht="16.5" x14ac:dyDescent="0.25">
      <c r="B378" s="4">
        <v>45904</v>
      </c>
      <c r="C378" t="s">
        <v>74</v>
      </c>
      <c r="D378" t="s">
        <v>185</v>
      </c>
      <c r="E378" t="s">
        <v>208</v>
      </c>
      <c r="F378" t="s">
        <v>479</v>
      </c>
      <c r="H378" t="s">
        <v>563</v>
      </c>
      <c r="I378" t="s">
        <v>566</v>
      </c>
      <c r="J378" s="2">
        <v>45976</v>
      </c>
      <c r="K378" s="2">
        <v>45977</v>
      </c>
      <c r="L378">
        <v>378</v>
      </c>
      <c r="M378" t="s">
        <v>664</v>
      </c>
      <c r="N378" t="s">
        <v>772</v>
      </c>
    </row>
    <row r="379" spans="2:14" ht="16.5" x14ac:dyDescent="0.25">
      <c r="B379" s="4">
        <v>45652</v>
      </c>
      <c r="C379" t="s">
        <v>57</v>
      </c>
      <c r="D379" t="s">
        <v>88</v>
      </c>
      <c r="E379" t="s">
        <v>204</v>
      </c>
      <c r="F379" t="s">
        <v>480</v>
      </c>
      <c r="H379" t="s">
        <v>563</v>
      </c>
      <c r="I379" t="s">
        <v>564</v>
      </c>
      <c r="J379" s="2">
        <v>45978</v>
      </c>
      <c r="K379" s="2">
        <v>45978</v>
      </c>
      <c r="L379">
        <v>379</v>
      </c>
      <c r="M379" t="s">
        <v>581</v>
      </c>
      <c r="N379" t="s">
        <v>679</v>
      </c>
    </row>
    <row r="380" spans="2:14" ht="16.5" x14ac:dyDescent="0.25">
      <c r="B380" s="4">
        <v>45652</v>
      </c>
      <c r="C380" t="s">
        <v>57</v>
      </c>
      <c r="D380" t="s">
        <v>88</v>
      </c>
      <c r="E380" t="s">
        <v>208</v>
      </c>
      <c r="F380" t="s">
        <v>480</v>
      </c>
      <c r="H380" t="s">
        <v>563</v>
      </c>
      <c r="I380" t="s">
        <v>564</v>
      </c>
      <c r="J380" s="2">
        <v>45978</v>
      </c>
      <c r="K380" s="2">
        <v>45978</v>
      </c>
      <c r="L380">
        <v>380</v>
      </c>
      <c r="M380" t="s">
        <v>581</v>
      </c>
      <c r="N380" t="s">
        <v>679</v>
      </c>
    </row>
    <row r="381" spans="2:14" ht="16.5" x14ac:dyDescent="0.25">
      <c r="B381" s="4">
        <v>45728</v>
      </c>
      <c r="C381" t="s">
        <v>22</v>
      </c>
      <c r="D381" t="s">
        <v>105</v>
      </c>
      <c r="E381" t="s">
        <v>221</v>
      </c>
      <c r="F381" t="s">
        <v>481</v>
      </c>
      <c r="H381" t="s">
        <v>563</v>
      </c>
      <c r="I381" t="s">
        <v>564</v>
      </c>
      <c r="J381" s="2">
        <v>45978</v>
      </c>
      <c r="K381" s="2">
        <v>45979</v>
      </c>
      <c r="L381">
        <v>381</v>
      </c>
      <c r="M381" t="s">
        <v>596</v>
      </c>
      <c r="N381" t="s">
        <v>694</v>
      </c>
    </row>
    <row r="382" spans="2:14" ht="16.5" x14ac:dyDescent="0.25">
      <c r="B382" s="4">
        <v>45728</v>
      </c>
      <c r="C382" t="s">
        <v>22</v>
      </c>
      <c r="D382" t="s">
        <v>105</v>
      </c>
      <c r="E382" t="s">
        <v>208</v>
      </c>
      <c r="F382" t="s">
        <v>481</v>
      </c>
      <c r="H382" t="s">
        <v>563</v>
      </c>
      <c r="I382" t="s">
        <v>564</v>
      </c>
      <c r="J382" s="2">
        <v>45978</v>
      </c>
      <c r="K382" s="2">
        <v>45979</v>
      </c>
      <c r="L382">
        <v>382</v>
      </c>
      <c r="M382" t="s">
        <v>596</v>
      </c>
      <c r="N382" t="s">
        <v>694</v>
      </c>
    </row>
    <row r="383" spans="2:14" ht="16.5" x14ac:dyDescent="0.25">
      <c r="B383" s="4">
        <v>45924</v>
      </c>
      <c r="C383" t="s">
        <v>82</v>
      </c>
      <c r="D383" t="s">
        <v>198</v>
      </c>
      <c r="E383" t="s">
        <v>315</v>
      </c>
      <c r="F383" t="s">
        <v>482</v>
      </c>
      <c r="H383" t="s">
        <v>563</v>
      </c>
      <c r="I383" t="s">
        <v>564</v>
      </c>
      <c r="J383" s="2">
        <v>45978</v>
      </c>
      <c r="K383" s="2">
        <v>45978</v>
      </c>
      <c r="L383">
        <v>383</v>
      </c>
      <c r="M383" t="s">
        <v>674</v>
      </c>
      <c r="N383" t="s">
        <v>783</v>
      </c>
    </row>
    <row r="384" spans="2:14" ht="16.5" x14ac:dyDescent="0.25">
      <c r="B384" s="4">
        <v>45924</v>
      </c>
      <c r="C384" t="s">
        <v>82</v>
      </c>
      <c r="D384" t="s">
        <v>198</v>
      </c>
      <c r="E384" t="s">
        <v>208</v>
      </c>
      <c r="F384" t="s">
        <v>482</v>
      </c>
      <c r="H384" t="s">
        <v>563</v>
      </c>
      <c r="I384" t="s">
        <v>564</v>
      </c>
      <c r="J384" s="2">
        <v>45978</v>
      </c>
      <c r="K384" s="2">
        <v>45978</v>
      </c>
      <c r="L384">
        <v>384</v>
      </c>
      <c r="M384" t="s">
        <v>674</v>
      </c>
      <c r="N384" t="s">
        <v>783</v>
      </c>
    </row>
    <row r="385" spans="1:14" ht="16.5" x14ac:dyDescent="0.25">
      <c r="B385" s="4">
        <v>45692</v>
      </c>
      <c r="C385" t="s">
        <v>11</v>
      </c>
      <c r="D385" t="s">
        <v>106</v>
      </c>
      <c r="E385" t="s">
        <v>223</v>
      </c>
      <c r="F385" t="s">
        <v>483</v>
      </c>
      <c r="H385" t="s">
        <v>563</v>
      </c>
      <c r="I385" t="s">
        <v>567</v>
      </c>
      <c r="J385" s="2">
        <v>45980</v>
      </c>
      <c r="K385" s="2">
        <v>45980</v>
      </c>
      <c r="L385">
        <v>385</v>
      </c>
      <c r="M385" t="s">
        <v>597</v>
      </c>
      <c r="N385" t="s">
        <v>696</v>
      </c>
    </row>
    <row r="386" spans="1:14" ht="16.5" x14ac:dyDescent="0.25">
      <c r="B386" s="4">
        <v>45692</v>
      </c>
      <c r="C386" t="s">
        <v>11</v>
      </c>
      <c r="D386" t="s">
        <v>106</v>
      </c>
      <c r="E386" t="s">
        <v>208</v>
      </c>
      <c r="F386" t="s">
        <v>483</v>
      </c>
      <c r="H386" t="s">
        <v>563</v>
      </c>
      <c r="I386" t="s">
        <v>567</v>
      </c>
      <c r="J386" s="2">
        <v>45980</v>
      </c>
      <c r="K386" s="2">
        <v>45980</v>
      </c>
      <c r="L386">
        <v>386</v>
      </c>
      <c r="M386" t="s">
        <v>597</v>
      </c>
      <c r="N386" t="s">
        <v>696</v>
      </c>
    </row>
    <row r="387" spans="1:14" ht="16.5" x14ac:dyDescent="0.25">
      <c r="A387" t="s">
        <v>0</v>
      </c>
      <c r="B387" s="4"/>
      <c r="C387" t="s">
        <v>79</v>
      </c>
      <c r="F387" t="s">
        <v>484</v>
      </c>
      <c r="H387" t="s">
        <v>577</v>
      </c>
      <c r="I387" t="s">
        <v>565</v>
      </c>
      <c r="J387" s="2">
        <v>45980</v>
      </c>
      <c r="K387" s="2">
        <v>45981</v>
      </c>
      <c r="L387">
        <v>387</v>
      </c>
      <c r="M387" t="s">
        <v>597</v>
      </c>
      <c r="N387" t="s">
        <v>696</v>
      </c>
    </row>
    <row r="388" spans="1:14" ht="16.5" x14ac:dyDescent="0.25">
      <c r="A388" t="s">
        <v>0</v>
      </c>
      <c r="B388" s="4"/>
      <c r="C388" t="s">
        <v>79</v>
      </c>
      <c r="F388" t="s">
        <v>484</v>
      </c>
      <c r="H388" t="s">
        <v>577</v>
      </c>
      <c r="I388" t="s">
        <v>565</v>
      </c>
      <c r="J388" s="2">
        <v>45980</v>
      </c>
      <c r="K388" s="2">
        <v>45981</v>
      </c>
      <c r="L388">
        <v>388</v>
      </c>
      <c r="M388" t="s">
        <v>597</v>
      </c>
      <c r="N388" t="s">
        <v>696</v>
      </c>
    </row>
    <row r="389" spans="1:14" ht="16.5" x14ac:dyDescent="0.25">
      <c r="B389" s="4">
        <v>45652</v>
      </c>
      <c r="C389" t="s">
        <v>6</v>
      </c>
      <c r="D389" t="s">
        <v>88</v>
      </c>
      <c r="E389" t="s">
        <v>204</v>
      </c>
      <c r="F389" t="s">
        <v>485</v>
      </c>
      <c r="H389" t="s">
        <v>563</v>
      </c>
      <c r="I389" t="s">
        <v>572</v>
      </c>
      <c r="J389" s="2">
        <v>45981</v>
      </c>
      <c r="K389" s="2">
        <v>45985</v>
      </c>
      <c r="L389">
        <v>389</v>
      </c>
      <c r="M389" t="s">
        <v>581</v>
      </c>
      <c r="N389" t="s">
        <v>679</v>
      </c>
    </row>
    <row r="390" spans="1:14" ht="16.5" x14ac:dyDescent="0.25">
      <c r="B390" s="4">
        <v>45652</v>
      </c>
      <c r="C390" t="s">
        <v>6</v>
      </c>
      <c r="D390" t="s">
        <v>88</v>
      </c>
      <c r="E390" t="s">
        <v>208</v>
      </c>
      <c r="F390" t="s">
        <v>485</v>
      </c>
      <c r="H390" t="s">
        <v>563</v>
      </c>
      <c r="I390" t="s">
        <v>572</v>
      </c>
      <c r="J390" s="2">
        <v>45981</v>
      </c>
      <c r="K390" s="2">
        <v>45985</v>
      </c>
      <c r="L390">
        <v>390</v>
      </c>
      <c r="M390" t="s">
        <v>581</v>
      </c>
      <c r="N390" t="s">
        <v>679</v>
      </c>
    </row>
    <row r="391" spans="1:14" ht="16.5" x14ac:dyDescent="0.25">
      <c r="B391" s="4">
        <v>45923</v>
      </c>
      <c r="C391" t="s">
        <v>58</v>
      </c>
      <c r="D391" t="s">
        <v>174</v>
      </c>
      <c r="E391" t="s">
        <v>300</v>
      </c>
      <c r="F391" t="s">
        <v>486</v>
      </c>
      <c r="H391" t="s">
        <v>563</v>
      </c>
      <c r="I391" t="s">
        <v>572</v>
      </c>
      <c r="J391" s="2">
        <v>45981</v>
      </c>
      <c r="K391" s="2">
        <v>45985</v>
      </c>
      <c r="L391">
        <v>391</v>
      </c>
      <c r="M391" t="s">
        <v>581</v>
      </c>
      <c r="N391" t="s">
        <v>769</v>
      </c>
    </row>
    <row r="392" spans="1:14" ht="16.5" x14ac:dyDescent="0.25">
      <c r="B392" s="4">
        <v>45923</v>
      </c>
      <c r="C392" t="s">
        <v>58</v>
      </c>
      <c r="D392" t="s">
        <v>174</v>
      </c>
      <c r="E392" t="s">
        <v>208</v>
      </c>
      <c r="F392" t="s">
        <v>486</v>
      </c>
      <c r="H392" t="s">
        <v>563</v>
      </c>
      <c r="I392" t="s">
        <v>572</v>
      </c>
      <c r="J392" s="2">
        <v>45981</v>
      </c>
      <c r="K392" s="2">
        <v>45985</v>
      </c>
      <c r="L392">
        <v>392</v>
      </c>
      <c r="M392" t="s">
        <v>581</v>
      </c>
      <c r="N392" t="s">
        <v>769</v>
      </c>
    </row>
    <row r="393" spans="1:14" ht="16.5" x14ac:dyDescent="0.25">
      <c r="B393" s="4">
        <v>45958</v>
      </c>
      <c r="C393" t="s">
        <v>785</v>
      </c>
      <c r="D393" t="s">
        <v>784</v>
      </c>
      <c r="E393" t="s">
        <v>786</v>
      </c>
      <c r="F393" t="s">
        <v>791</v>
      </c>
      <c r="H393" t="s">
        <v>577</v>
      </c>
      <c r="I393" t="s">
        <v>572</v>
      </c>
      <c r="J393" s="2">
        <v>45984</v>
      </c>
      <c r="K393" s="2">
        <v>45985</v>
      </c>
      <c r="L393">
        <v>393</v>
      </c>
      <c r="M393" t="s">
        <v>787</v>
      </c>
      <c r="N393" t="s">
        <v>788</v>
      </c>
    </row>
    <row r="394" spans="1:14" ht="16.5" x14ac:dyDescent="0.25">
      <c r="B394" s="4">
        <v>45958</v>
      </c>
      <c r="C394" t="s">
        <v>785</v>
      </c>
      <c r="D394" t="s">
        <v>784</v>
      </c>
      <c r="E394" t="s">
        <v>208</v>
      </c>
      <c r="F394" t="s">
        <v>791</v>
      </c>
      <c r="H394" t="s">
        <v>577</v>
      </c>
      <c r="I394" t="s">
        <v>572</v>
      </c>
      <c r="J394" s="2">
        <v>45984</v>
      </c>
      <c r="K394" s="2">
        <v>45985</v>
      </c>
      <c r="L394">
        <v>394</v>
      </c>
      <c r="M394" t="s">
        <v>787</v>
      </c>
      <c r="N394" t="s">
        <v>788</v>
      </c>
    </row>
    <row r="395" spans="1:14" ht="16.5" x14ac:dyDescent="0.25">
      <c r="A395" t="s">
        <v>0</v>
      </c>
      <c r="B395" s="4">
        <v>45933</v>
      </c>
      <c r="C395" t="s">
        <v>83</v>
      </c>
      <c r="D395" t="s">
        <v>199</v>
      </c>
      <c r="E395" t="s">
        <v>255</v>
      </c>
      <c r="F395" t="s">
        <v>487</v>
      </c>
      <c r="H395" t="s">
        <v>577</v>
      </c>
      <c r="I395" t="s">
        <v>565</v>
      </c>
      <c r="J395" s="2">
        <v>45985</v>
      </c>
      <c r="K395" s="2">
        <v>45986</v>
      </c>
      <c r="L395">
        <v>395</v>
      </c>
      <c r="M395" t="s">
        <v>675</v>
      </c>
      <c r="N395" t="s">
        <v>769</v>
      </c>
    </row>
    <row r="396" spans="1:14" ht="16.5" x14ac:dyDescent="0.25">
      <c r="A396" t="s">
        <v>0</v>
      </c>
      <c r="B396" s="4">
        <v>45933</v>
      </c>
      <c r="C396" t="s">
        <v>83</v>
      </c>
      <c r="D396" t="s">
        <v>199</v>
      </c>
      <c r="E396" t="s">
        <v>255</v>
      </c>
      <c r="F396" t="s">
        <v>487</v>
      </c>
      <c r="H396" t="s">
        <v>577</v>
      </c>
      <c r="I396" t="s">
        <v>565</v>
      </c>
      <c r="J396" s="2">
        <v>45986</v>
      </c>
      <c r="K396" s="2">
        <v>45987</v>
      </c>
      <c r="L396">
        <v>396</v>
      </c>
      <c r="M396" t="s">
        <v>675</v>
      </c>
      <c r="N396" t="s">
        <v>769</v>
      </c>
    </row>
    <row r="397" spans="1:14" ht="16.5" x14ac:dyDescent="0.25">
      <c r="B397" s="4">
        <v>45693</v>
      </c>
      <c r="C397" t="s">
        <v>13</v>
      </c>
      <c r="D397" t="s">
        <v>90</v>
      </c>
      <c r="E397" t="s">
        <v>206</v>
      </c>
      <c r="F397" t="s">
        <v>488</v>
      </c>
      <c r="H397" t="s">
        <v>563</v>
      </c>
      <c r="I397" t="s">
        <v>564</v>
      </c>
      <c r="J397" s="2">
        <v>45986</v>
      </c>
      <c r="K397" s="2">
        <v>45987</v>
      </c>
      <c r="L397">
        <v>397</v>
      </c>
      <c r="M397" t="s">
        <v>583</v>
      </c>
      <c r="N397" t="s">
        <v>681</v>
      </c>
    </row>
    <row r="398" spans="1:14" ht="16.5" x14ac:dyDescent="0.25">
      <c r="B398" s="4">
        <v>45693</v>
      </c>
      <c r="C398" t="s">
        <v>13</v>
      </c>
      <c r="D398" t="s">
        <v>90</v>
      </c>
      <c r="E398" t="s">
        <v>208</v>
      </c>
      <c r="F398" t="s">
        <v>488</v>
      </c>
      <c r="H398" t="s">
        <v>563</v>
      </c>
      <c r="I398" t="s">
        <v>564</v>
      </c>
      <c r="J398" s="2">
        <v>45988</v>
      </c>
      <c r="K398" s="2">
        <v>45989</v>
      </c>
      <c r="L398">
        <v>398</v>
      </c>
      <c r="M398" t="s">
        <v>583</v>
      </c>
      <c r="N398" t="s">
        <v>681</v>
      </c>
    </row>
    <row r="399" spans="1:14" ht="16.5" x14ac:dyDescent="0.25">
      <c r="B399" s="4">
        <v>45923</v>
      </c>
      <c r="C399" t="s">
        <v>58</v>
      </c>
      <c r="D399" t="s">
        <v>174</v>
      </c>
      <c r="E399" t="s">
        <v>300</v>
      </c>
      <c r="F399" t="s">
        <v>489</v>
      </c>
      <c r="H399" t="s">
        <v>563</v>
      </c>
      <c r="I399" t="s">
        <v>569</v>
      </c>
      <c r="J399" s="2">
        <v>45988</v>
      </c>
      <c r="K399" s="2">
        <v>45989</v>
      </c>
      <c r="L399">
        <v>399</v>
      </c>
      <c r="M399" t="s">
        <v>676</v>
      </c>
      <c r="N399" t="s">
        <v>769</v>
      </c>
    </row>
    <row r="400" spans="1:14" ht="16.5" x14ac:dyDescent="0.25">
      <c r="B400" s="4">
        <v>45923</v>
      </c>
      <c r="C400" t="s">
        <v>58</v>
      </c>
      <c r="D400" t="s">
        <v>174</v>
      </c>
      <c r="E400" t="s">
        <v>208</v>
      </c>
      <c r="F400" t="s">
        <v>489</v>
      </c>
      <c r="H400" t="s">
        <v>563</v>
      </c>
      <c r="I400" t="s">
        <v>569</v>
      </c>
      <c r="J400" s="2">
        <v>45991</v>
      </c>
      <c r="K400" s="2">
        <v>45992</v>
      </c>
      <c r="L400">
        <v>400</v>
      </c>
      <c r="M400" t="s">
        <v>676</v>
      </c>
      <c r="N400" t="s">
        <v>769</v>
      </c>
    </row>
    <row r="401" spans="1:14" ht="16.5" x14ac:dyDescent="0.25">
      <c r="B401" s="4">
        <v>45958</v>
      </c>
      <c r="C401" t="s">
        <v>785</v>
      </c>
      <c r="D401" t="s">
        <v>784</v>
      </c>
      <c r="E401" t="s">
        <v>786</v>
      </c>
      <c r="F401" t="s">
        <v>792</v>
      </c>
      <c r="H401" t="s">
        <v>577</v>
      </c>
      <c r="I401" t="s">
        <v>569</v>
      </c>
      <c r="J401" s="2">
        <v>45988</v>
      </c>
      <c r="K401" s="2">
        <v>45989</v>
      </c>
      <c r="L401">
        <v>401</v>
      </c>
      <c r="M401" t="s">
        <v>787</v>
      </c>
      <c r="N401" t="s">
        <v>788</v>
      </c>
    </row>
    <row r="402" spans="1:14" ht="16.5" x14ac:dyDescent="0.25">
      <c r="B402" s="4">
        <v>45958</v>
      </c>
      <c r="C402" t="s">
        <v>785</v>
      </c>
      <c r="D402" t="s">
        <v>784</v>
      </c>
      <c r="E402" t="s">
        <v>208</v>
      </c>
      <c r="F402" t="s">
        <v>792</v>
      </c>
      <c r="H402" t="s">
        <v>577</v>
      </c>
      <c r="I402" t="s">
        <v>569</v>
      </c>
      <c r="J402" s="2">
        <v>45988</v>
      </c>
      <c r="K402" s="2">
        <v>45989</v>
      </c>
      <c r="L402">
        <v>402</v>
      </c>
      <c r="M402" t="s">
        <v>787</v>
      </c>
      <c r="N402" t="s">
        <v>788</v>
      </c>
    </row>
    <row r="403" spans="1:14" ht="16.5" x14ac:dyDescent="0.25">
      <c r="B403" s="4">
        <v>45728</v>
      </c>
      <c r="C403" t="s">
        <v>22</v>
      </c>
      <c r="D403" t="s">
        <v>105</v>
      </c>
      <c r="E403" t="s">
        <v>221</v>
      </c>
      <c r="F403" t="s">
        <v>490</v>
      </c>
      <c r="H403" t="s">
        <v>563</v>
      </c>
      <c r="I403" t="s">
        <v>570</v>
      </c>
      <c r="J403" s="2">
        <v>45991</v>
      </c>
      <c r="K403" s="2">
        <v>45992</v>
      </c>
      <c r="L403">
        <v>403</v>
      </c>
      <c r="M403" t="s">
        <v>596</v>
      </c>
      <c r="N403" t="s">
        <v>694</v>
      </c>
    </row>
    <row r="404" spans="1:14" ht="16.5" x14ac:dyDescent="0.25">
      <c r="B404" s="4">
        <v>45728</v>
      </c>
      <c r="C404" t="s">
        <v>22</v>
      </c>
      <c r="D404" t="s">
        <v>105</v>
      </c>
      <c r="E404" t="s">
        <v>208</v>
      </c>
      <c r="F404" t="s">
        <v>490</v>
      </c>
      <c r="H404" t="s">
        <v>563</v>
      </c>
      <c r="I404" t="s">
        <v>570</v>
      </c>
      <c r="J404" s="2">
        <v>45991</v>
      </c>
      <c r="K404" s="2">
        <v>45992</v>
      </c>
      <c r="L404">
        <v>404</v>
      </c>
      <c r="M404" t="s">
        <v>596</v>
      </c>
      <c r="N404" t="s">
        <v>694</v>
      </c>
    </row>
    <row r="405" spans="1:14" ht="16.5" x14ac:dyDescent="0.25">
      <c r="B405" s="4">
        <v>45693</v>
      </c>
      <c r="C405" t="s">
        <v>13</v>
      </c>
      <c r="D405" t="s">
        <v>90</v>
      </c>
      <c r="E405" t="s">
        <v>206</v>
      </c>
      <c r="F405" t="s">
        <v>491</v>
      </c>
      <c r="H405" t="s">
        <v>563</v>
      </c>
      <c r="I405" t="s">
        <v>567</v>
      </c>
      <c r="J405" s="2">
        <v>45993</v>
      </c>
      <c r="K405" s="2">
        <v>45993</v>
      </c>
      <c r="L405">
        <v>405</v>
      </c>
      <c r="M405" t="s">
        <v>583</v>
      </c>
      <c r="N405" t="s">
        <v>681</v>
      </c>
    </row>
    <row r="406" spans="1:14" ht="16.5" x14ac:dyDescent="0.25">
      <c r="B406" s="4">
        <v>45693</v>
      </c>
      <c r="C406" t="s">
        <v>13</v>
      </c>
      <c r="D406" t="s">
        <v>90</v>
      </c>
      <c r="E406" t="s">
        <v>208</v>
      </c>
      <c r="F406" t="s">
        <v>491</v>
      </c>
      <c r="H406" t="s">
        <v>563</v>
      </c>
      <c r="I406" t="s">
        <v>567</v>
      </c>
      <c r="J406" s="2">
        <v>45993</v>
      </c>
      <c r="K406" s="2">
        <v>45993</v>
      </c>
      <c r="L406">
        <v>406</v>
      </c>
      <c r="M406" t="s">
        <v>583</v>
      </c>
      <c r="N406" t="s">
        <v>681</v>
      </c>
    </row>
    <row r="407" spans="1:14" ht="16.5" x14ac:dyDescent="0.25">
      <c r="B407" s="4">
        <v>45652</v>
      </c>
      <c r="C407" t="s">
        <v>6</v>
      </c>
      <c r="D407" t="s">
        <v>88</v>
      </c>
      <c r="E407" t="s">
        <v>204</v>
      </c>
      <c r="F407" t="s">
        <v>492</v>
      </c>
      <c r="H407" t="s">
        <v>563</v>
      </c>
      <c r="I407" t="s">
        <v>564</v>
      </c>
      <c r="J407" s="2">
        <v>45994</v>
      </c>
      <c r="K407" s="2">
        <v>45996</v>
      </c>
      <c r="L407">
        <v>407</v>
      </c>
      <c r="M407" t="s">
        <v>581</v>
      </c>
      <c r="N407" t="s">
        <v>679</v>
      </c>
    </row>
    <row r="408" spans="1:14" ht="16.5" x14ac:dyDescent="0.25">
      <c r="B408" s="4">
        <v>45652</v>
      </c>
      <c r="C408" t="s">
        <v>6</v>
      </c>
      <c r="D408" t="s">
        <v>88</v>
      </c>
      <c r="E408" t="s">
        <v>208</v>
      </c>
      <c r="F408" t="s">
        <v>492</v>
      </c>
      <c r="H408" t="s">
        <v>563</v>
      </c>
      <c r="I408" t="s">
        <v>564</v>
      </c>
      <c r="J408" s="2">
        <v>45994</v>
      </c>
      <c r="K408" s="2">
        <v>45996</v>
      </c>
      <c r="L408">
        <v>408</v>
      </c>
      <c r="M408" t="s">
        <v>581</v>
      </c>
      <c r="N408" t="s">
        <v>679</v>
      </c>
    </row>
    <row r="409" spans="1:14" ht="16.5" x14ac:dyDescent="0.25">
      <c r="B409" s="4">
        <v>45923</v>
      </c>
      <c r="C409" t="s">
        <v>58</v>
      </c>
      <c r="D409" t="s">
        <v>174</v>
      </c>
      <c r="E409" t="s">
        <v>300</v>
      </c>
      <c r="F409" t="s">
        <v>493</v>
      </c>
      <c r="H409" t="s">
        <v>563</v>
      </c>
      <c r="I409" t="s">
        <v>566</v>
      </c>
      <c r="J409" s="2">
        <v>45997</v>
      </c>
      <c r="K409" s="2">
        <v>45998</v>
      </c>
      <c r="L409">
        <v>409</v>
      </c>
      <c r="M409" t="s">
        <v>581</v>
      </c>
      <c r="N409" t="s">
        <v>769</v>
      </c>
    </row>
    <row r="410" spans="1:14" ht="16.5" x14ac:dyDescent="0.25">
      <c r="B410" s="4">
        <v>45923</v>
      </c>
      <c r="C410" t="s">
        <v>58</v>
      </c>
      <c r="D410" t="s">
        <v>174</v>
      </c>
      <c r="E410" t="s">
        <v>208</v>
      </c>
      <c r="F410" t="s">
        <v>493</v>
      </c>
      <c r="H410" t="s">
        <v>563</v>
      </c>
      <c r="I410" t="s">
        <v>566</v>
      </c>
      <c r="J410" s="2">
        <v>45997</v>
      </c>
      <c r="K410" s="2">
        <v>45998</v>
      </c>
      <c r="L410">
        <v>410</v>
      </c>
      <c r="M410" t="s">
        <v>581</v>
      </c>
      <c r="N410" t="s">
        <v>769</v>
      </c>
    </row>
    <row r="411" spans="1:14" ht="16.5" customHeight="1" x14ac:dyDescent="0.25">
      <c r="B411" s="4">
        <v>45923</v>
      </c>
      <c r="C411" t="s">
        <v>58</v>
      </c>
      <c r="D411" t="s">
        <v>174</v>
      </c>
      <c r="E411" t="s">
        <v>300</v>
      </c>
      <c r="F411" t="s">
        <v>494</v>
      </c>
      <c r="H411" t="s">
        <v>558</v>
      </c>
      <c r="I411" t="s">
        <v>576</v>
      </c>
      <c r="J411" s="2">
        <v>45999</v>
      </c>
      <c r="K411" s="2">
        <v>46000</v>
      </c>
      <c r="L411">
        <v>411</v>
      </c>
      <c r="M411" t="s">
        <v>581</v>
      </c>
      <c r="N411" t="s">
        <v>769</v>
      </c>
    </row>
    <row r="412" spans="1:14" ht="16.5" x14ac:dyDescent="0.25">
      <c r="B412" s="4">
        <v>45923</v>
      </c>
      <c r="C412" t="s">
        <v>58</v>
      </c>
      <c r="D412" t="s">
        <v>174</v>
      </c>
      <c r="E412" t="s">
        <v>208</v>
      </c>
      <c r="F412" t="s">
        <v>494</v>
      </c>
      <c r="H412" t="s">
        <v>558</v>
      </c>
      <c r="I412" t="s">
        <v>576</v>
      </c>
      <c r="J412" s="2">
        <v>45999</v>
      </c>
      <c r="K412" s="2">
        <v>46000</v>
      </c>
      <c r="L412">
        <v>412</v>
      </c>
      <c r="M412" t="s">
        <v>581</v>
      </c>
      <c r="N412" t="s">
        <v>769</v>
      </c>
    </row>
    <row r="413" spans="1:14" ht="16.5" x14ac:dyDescent="0.25">
      <c r="B413" s="4">
        <v>45958</v>
      </c>
      <c r="C413" t="s">
        <v>785</v>
      </c>
      <c r="D413" t="s">
        <v>784</v>
      </c>
      <c r="E413" t="s">
        <v>786</v>
      </c>
      <c r="F413" t="s">
        <v>494</v>
      </c>
      <c r="H413" t="s">
        <v>558</v>
      </c>
      <c r="I413" t="s">
        <v>576</v>
      </c>
      <c r="J413" s="2">
        <v>45999</v>
      </c>
      <c r="K413" s="2">
        <v>46000</v>
      </c>
      <c r="L413">
        <v>413</v>
      </c>
      <c r="M413" t="s">
        <v>787</v>
      </c>
      <c r="N413" t="s">
        <v>788</v>
      </c>
    </row>
    <row r="414" spans="1:14" ht="16.5" x14ac:dyDescent="0.25">
      <c r="B414" s="4">
        <v>45958</v>
      </c>
      <c r="C414" t="s">
        <v>785</v>
      </c>
      <c r="D414" t="s">
        <v>784</v>
      </c>
      <c r="E414" t="s">
        <v>208</v>
      </c>
      <c r="F414" t="s">
        <v>494</v>
      </c>
      <c r="H414" t="s">
        <v>558</v>
      </c>
      <c r="I414" t="s">
        <v>576</v>
      </c>
      <c r="J414" s="2">
        <v>45999</v>
      </c>
      <c r="K414" s="2">
        <v>46000</v>
      </c>
      <c r="L414">
        <v>414</v>
      </c>
      <c r="M414" t="s">
        <v>787</v>
      </c>
      <c r="N414" t="s">
        <v>788</v>
      </c>
    </row>
    <row r="415" spans="1:14" ht="16.5" x14ac:dyDescent="0.25">
      <c r="A415" t="s">
        <v>0</v>
      </c>
      <c r="B415" s="1"/>
      <c r="C415" t="s">
        <v>84</v>
      </c>
      <c r="F415" t="s">
        <v>495</v>
      </c>
      <c r="H415" t="s">
        <v>577</v>
      </c>
      <c r="I415" t="s">
        <v>565</v>
      </c>
      <c r="J415" s="2">
        <v>46000</v>
      </c>
      <c r="K415" s="2">
        <v>46001</v>
      </c>
      <c r="L415">
        <v>415</v>
      </c>
    </row>
    <row r="416" spans="1:14" ht="16.5" x14ac:dyDescent="0.25">
      <c r="A416" t="s">
        <v>0</v>
      </c>
      <c r="B416" s="1"/>
      <c r="C416" t="s">
        <v>84</v>
      </c>
      <c r="F416" t="s">
        <v>495</v>
      </c>
      <c r="H416" t="s">
        <v>577</v>
      </c>
      <c r="I416" t="s">
        <v>565</v>
      </c>
      <c r="J416" s="2">
        <v>46000</v>
      </c>
      <c r="K416" s="2">
        <v>46001</v>
      </c>
      <c r="L416">
        <v>416</v>
      </c>
    </row>
    <row r="417" spans="1:14" ht="16.5" x14ac:dyDescent="0.25">
      <c r="B417" s="4">
        <v>45652</v>
      </c>
      <c r="C417" t="s">
        <v>6</v>
      </c>
      <c r="D417" t="s">
        <v>88</v>
      </c>
      <c r="E417" t="s">
        <v>204</v>
      </c>
      <c r="F417" t="s">
        <v>496</v>
      </c>
      <c r="H417" t="s">
        <v>563</v>
      </c>
      <c r="I417" t="s">
        <v>572</v>
      </c>
      <c r="J417" s="2">
        <v>46001</v>
      </c>
      <c r="K417" s="2">
        <v>46001</v>
      </c>
      <c r="L417">
        <v>417</v>
      </c>
      <c r="M417" t="s">
        <v>581</v>
      </c>
      <c r="N417" t="s">
        <v>679</v>
      </c>
    </row>
    <row r="418" spans="1:14" ht="16.5" x14ac:dyDescent="0.25">
      <c r="B418" s="4">
        <v>45652</v>
      </c>
      <c r="C418" t="s">
        <v>6</v>
      </c>
      <c r="D418" t="s">
        <v>88</v>
      </c>
      <c r="E418" t="s">
        <v>208</v>
      </c>
      <c r="F418" t="s">
        <v>496</v>
      </c>
      <c r="H418" t="s">
        <v>563</v>
      </c>
      <c r="I418" t="s">
        <v>572</v>
      </c>
      <c r="J418" s="2">
        <v>46001</v>
      </c>
      <c r="K418" s="2">
        <v>46001</v>
      </c>
      <c r="L418">
        <v>418</v>
      </c>
      <c r="M418" t="s">
        <v>581</v>
      </c>
      <c r="N418" t="s">
        <v>679</v>
      </c>
    </row>
    <row r="419" spans="1:14" ht="16.5" x14ac:dyDescent="0.25">
      <c r="B419" s="4">
        <v>45923</v>
      </c>
      <c r="C419" t="s">
        <v>58</v>
      </c>
      <c r="D419" t="s">
        <v>174</v>
      </c>
      <c r="E419" t="s">
        <v>300</v>
      </c>
      <c r="F419" t="s">
        <v>497</v>
      </c>
      <c r="H419" t="s">
        <v>563</v>
      </c>
      <c r="I419" t="s">
        <v>566</v>
      </c>
      <c r="J419" s="2">
        <v>46002</v>
      </c>
      <c r="K419" s="2">
        <v>46003</v>
      </c>
      <c r="L419">
        <v>419</v>
      </c>
      <c r="M419" t="s">
        <v>581</v>
      </c>
      <c r="N419" t="s">
        <v>769</v>
      </c>
    </row>
    <row r="420" spans="1:14" ht="16.5" x14ac:dyDescent="0.25">
      <c r="B420" s="4">
        <v>45923</v>
      </c>
      <c r="C420" t="s">
        <v>58</v>
      </c>
      <c r="D420" t="s">
        <v>174</v>
      </c>
      <c r="E420" t="s">
        <v>208</v>
      </c>
      <c r="F420" t="s">
        <v>497</v>
      </c>
      <c r="H420" t="s">
        <v>563</v>
      </c>
      <c r="I420" t="s">
        <v>566</v>
      </c>
      <c r="J420" s="2">
        <v>46002</v>
      </c>
      <c r="K420" s="2">
        <v>46003</v>
      </c>
      <c r="L420">
        <v>420</v>
      </c>
      <c r="M420" t="s">
        <v>581</v>
      </c>
      <c r="N420" t="s">
        <v>769</v>
      </c>
    </row>
    <row r="421" spans="1:14" x14ac:dyDescent="0.25">
      <c r="A421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03CE-8ACD-4813-AA08-8164926EEDA2}">
  <dimension ref="A1:Q437"/>
  <sheetViews>
    <sheetView tabSelected="1" topLeftCell="L426" workbookViewId="0">
      <selection activeCell="N437" sqref="N437"/>
    </sheetView>
  </sheetViews>
  <sheetFormatPr defaultRowHeight="15" x14ac:dyDescent="0.25"/>
  <cols>
    <col min="1" max="1" width="17.5703125" customWidth="1"/>
    <col min="2" max="2" width="20" bestFit="1" customWidth="1"/>
    <col min="3" max="3" width="19.42578125" customWidth="1"/>
    <col min="4" max="4" width="13.42578125" customWidth="1"/>
    <col min="5" max="5" width="16" customWidth="1"/>
    <col min="6" max="6" width="90" customWidth="1"/>
    <col min="7" max="7" width="43.42578125" bestFit="1" customWidth="1"/>
    <col min="8" max="8" width="162.85546875" bestFit="1" customWidth="1"/>
    <col min="9" max="9" width="22.140625" customWidth="1"/>
    <col min="10" max="10" width="162.5703125" bestFit="1" customWidth="1"/>
    <col min="11" max="11" width="171.85546875" bestFit="1" customWidth="1"/>
    <col min="12" max="12" width="37.7109375" bestFit="1" customWidth="1"/>
    <col min="13" max="13" width="52.7109375" customWidth="1"/>
    <col min="14" max="14" width="19.140625" bestFit="1" customWidth="1"/>
    <col min="15" max="15" width="19.140625" customWidth="1"/>
    <col min="16" max="16" width="15.85546875" customWidth="1"/>
    <col min="17" max="17" width="19" customWidth="1"/>
  </cols>
  <sheetData>
    <row r="1" spans="1:17" x14ac:dyDescent="0.25">
      <c r="A1" t="s">
        <v>793</v>
      </c>
      <c r="B1" t="s">
        <v>794</v>
      </c>
      <c r="C1" t="s">
        <v>795</v>
      </c>
      <c r="D1" t="s">
        <v>796</v>
      </c>
      <c r="E1" t="s">
        <v>797</v>
      </c>
      <c r="F1" t="s">
        <v>798</v>
      </c>
      <c r="G1" t="s">
        <v>850</v>
      </c>
      <c r="H1" t="s">
        <v>799</v>
      </c>
      <c r="I1" t="s">
        <v>800</v>
      </c>
      <c r="J1" t="s">
        <v>801</v>
      </c>
      <c r="K1" t="s">
        <v>802</v>
      </c>
      <c r="L1" t="s">
        <v>803</v>
      </c>
      <c r="M1" t="s">
        <v>851</v>
      </c>
      <c r="N1" t="s">
        <v>804</v>
      </c>
      <c r="O1" t="s">
        <v>805</v>
      </c>
      <c r="P1" t="s">
        <v>806</v>
      </c>
      <c r="Q1" t="s">
        <v>807</v>
      </c>
    </row>
    <row r="2" spans="1:17" ht="16.5" x14ac:dyDescent="0.25">
      <c r="A2">
        <v>1</v>
      </c>
      <c r="B2" t="s">
        <v>849</v>
      </c>
      <c r="C2" s="4">
        <v>45645</v>
      </c>
      <c r="D2" s="3">
        <v>45683</v>
      </c>
      <c r="E2" s="2">
        <v>45687</v>
      </c>
      <c r="F2" t="s">
        <v>3</v>
      </c>
      <c r="G2" t="s">
        <v>85</v>
      </c>
      <c r="H2" t="s">
        <v>578</v>
      </c>
      <c r="I2" t="s">
        <v>200</v>
      </c>
      <c r="K2" t="s">
        <v>316</v>
      </c>
      <c r="M2" t="s">
        <v>501</v>
      </c>
      <c r="N2" t="s">
        <v>564</v>
      </c>
      <c r="O2" t="str">
        <f t="shared" ref="O2:O33" si="0">IF(OR(ISNUMBER(FIND("ENTREGUES",M2)),N2="Preto",N2="Cinza"),"S","N")</f>
        <v>S</v>
      </c>
      <c r="P2" t="str">
        <f t="shared" ref="P2:P43" si="1">IF(N2="Preto", "", MID(M2, FIND("em ", M2) + 3, 10))</f>
        <v>24/01/2025</v>
      </c>
      <c r="Q2">
        <v>1</v>
      </c>
    </row>
    <row r="3" spans="1:17" ht="16.5" x14ac:dyDescent="0.25">
      <c r="A3">
        <v>2</v>
      </c>
      <c r="B3" t="s">
        <v>849</v>
      </c>
      <c r="C3" s="4">
        <v>45645</v>
      </c>
      <c r="D3" s="2">
        <v>45683</v>
      </c>
      <c r="E3" s="2">
        <v>45687</v>
      </c>
      <c r="F3" t="s">
        <v>3</v>
      </c>
      <c r="G3" t="s">
        <v>85</v>
      </c>
      <c r="H3" t="s">
        <v>578</v>
      </c>
      <c r="I3" t="s">
        <v>200</v>
      </c>
      <c r="K3" t="s">
        <v>316</v>
      </c>
      <c r="M3" t="s">
        <v>501</v>
      </c>
      <c r="N3" t="s">
        <v>564</v>
      </c>
      <c r="O3" t="str">
        <f t="shared" si="0"/>
        <v>S</v>
      </c>
      <c r="P3" t="str">
        <f t="shared" si="1"/>
        <v>24/01/2025</v>
      </c>
      <c r="Q3">
        <v>1</v>
      </c>
    </row>
    <row r="4" spans="1:17" ht="16.5" x14ac:dyDescent="0.25">
      <c r="A4">
        <v>3</v>
      </c>
      <c r="B4" t="s">
        <v>849</v>
      </c>
      <c r="C4" s="4">
        <v>45297</v>
      </c>
      <c r="D4" s="2">
        <v>45683</v>
      </c>
      <c r="E4" s="2">
        <v>45687</v>
      </c>
      <c r="F4" t="s">
        <v>4</v>
      </c>
      <c r="G4" t="s">
        <v>86</v>
      </c>
      <c r="H4" t="s">
        <v>579</v>
      </c>
      <c r="I4" t="s">
        <v>201</v>
      </c>
      <c r="J4" t="s">
        <v>677</v>
      </c>
      <c r="K4" t="s">
        <v>316</v>
      </c>
      <c r="M4" t="s">
        <v>501</v>
      </c>
      <c r="N4" t="s">
        <v>564</v>
      </c>
      <c r="O4" t="str">
        <f t="shared" si="0"/>
        <v>S</v>
      </c>
      <c r="P4" t="str">
        <f t="shared" si="1"/>
        <v>24/01/2025</v>
      </c>
      <c r="Q4">
        <v>1</v>
      </c>
    </row>
    <row r="5" spans="1:17" ht="16.5" x14ac:dyDescent="0.25">
      <c r="A5">
        <v>4</v>
      </c>
      <c r="B5" t="s">
        <v>849</v>
      </c>
      <c r="C5" s="4">
        <v>45297</v>
      </c>
      <c r="D5" s="2">
        <v>45683</v>
      </c>
      <c r="E5" s="2">
        <v>45687</v>
      </c>
      <c r="F5" t="s">
        <v>4</v>
      </c>
      <c r="G5" t="s">
        <v>86</v>
      </c>
      <c r="H5" t="s">
        <v>579</v>
      </c>
      <c r="I5" t="s">
        <v>201</v>
      </c>
      <c r="J5" t="s">
        <v>677</v>
      </c>
      <c r="K5" t="s">
        <v>316</v>
      </c>
      <c r="M5" t="s">
        <v>501</v>
      </c>
      <c r="N5" t="s">
        <v>564</v>
      </c>
      <c r="O5" t="str">
        <f t="shared" si="0"/>
        <v>S</v>
      </c>
      <c r="P5" t="str">
        <f t="shared" si="1"/>
        <v>24/01/2025</v>
      </c>
      <c r="Q5">
        <v>1</v>
      </c>
    </row>
    <row r="6" spans="1:17" ht="16.5" x14ac:dyDescent="0.25">
      <c r="A6">
        <v>5</v>
      </c>
      <c r="B6" t="s">
        <v>0</v>
      </c>
      <c r="C6" s="4">
        <v>45671</v>
      </c>
      <c r="D6" s="2">
        <v>45686</v>
      </c>
      <c r="E6" s="2">
        <v>45686</v>
      </c>
      <c r="F6" t="s">
        <v>5</v>
      </c>
      <c r="G6" t="s">
        <v>87</v>
      </c>
      <c r="H6" t="s">
        <v>580</v>
      </c>
      <c r="I6" t="s">
        <v>202</v>
      </c>
      <c r="J6" t="s">
        <v>678</v>
      </c>
      <c r="K6" t="s">
        <v>317</v>
      </c>
      <c r="M6" t="s">
        <v>577</v>
      </c>
      <c r="N6" t="s">
        <v>565</v>
      </c>
      <c r="O6" t="str">
        <f t="shared" si="0"/>
        <v>S</v>
      </c>
      <c r="P6" t="str">
        <f t="shared" si="1"/>
        <v/>
      </c>
      <c r="Q6">
        <v>1</v>
      </c>
    </row>
    <row r="7" spans="1:17" ht="16.5" x14ac:dyDescent="0.25">
      <c r="A7">
        <v>6</v>
      </c>
      <c r="B7" t="s">
        <v>0</v>
      </c>
      <c r="C7" s="4">
        <v>45671</v>
      </c>
      <c r="D7" s="2">
        <v>45686</v>
      </c>
      <c r="E7" s="2">
        <v>45686</v>
      </c>
      <c r="F7" t="s">
        <v>5</v>
      </c>
      <c r="G7" t="s">
        <v>87</v>
      </c>
      <c r="H7" t="s">
        <v>580</v>
      </c>
      <c r="I7" t="s">
        <v>203</v>
      </c>
      <c r="J7" t="s">
        <v>678</v>
      </c>
      <c r="K7" t="s">
        <v>317</v>
      </c>
      <c r="M7" t="s">
        <v>577</v>
      </c>
      <c r="N7" t="s">
        <v>565</v>
      </c>
      <c r="O7" t="str">
        <f t="shared" si="0"/>
        <v>S</v>
      </c>
      <c r="P7" t="str">
        <f t="shared" si="1"/>
        <v/>
      </c>
      <c r="Q7">
        <v>1</v>
      </c>
    </row>
    <row r="8" spans="1:17" ht="16.5" x14ac:dyDescent="0.25">
      <c r="A8">
        <v>7</v>
      </c>
      <c r="B8" t="s">
        <v>849</v>
      </c>
      <c r="C8" s="4">
        <v>45652</v>
      </c>
      <c r="D8" s="2">
        <v>45692</v>
      </c>
      <c r="E8" s="2">
        <v>45692</v>
      </c>
      <c r="F8" t="s">
        <v>6</v>
      </c>
      <c r="G8" t="s">
        <v>88</v>
      </c>
      <c r="H8" t="s">
        <v>581</v>
      </c>
      <c r="I8" t="s">
        <v>204</v>
      </c>
      <c r="J8" t="s">
        <v>679</v>
      </c>
      <c r="K8" t="s">
        <v>318</v>
      </c>
      <c r="M8" t="s">
        <v>502</v>
      </c>
      <c r="N8" t="s">
        <v>564</v>
      </c>
      <c r="O8" t="str">
        <f t="shared" si="0"/>
        <v>S</v>
      </c>
      <c r="P8" t="str">
        <f t="shared" si="1"/>
        <v>04/02/2025</v>
      </c>
      <c r="Q8">
        <v>1</v>
      </c>
    </row>
    <row r="9" spans="1:17" ht="16.5" x14ac:dyDescent="0.25">
      <c r="A9">
        <v>8</v>
      </c>
      <c r="B9" t="s">
        <v>849</v>
      </c>
      <c r="C9" s="4">
        <v>45652</v>
      </c>
      <c r="D9" s="2">
        <v>45692</v>
      </c>
      <c r="E9" s="2">
        <v>45692</v>
      </c>
      <c r="F9" t="s">
        <v>6</v>
      </c>
      <c r="G9" t="s">
        <v>88</v>
      </c>
      <c r="H9" t="s">
        <v>581</v>
      </c>
      <c r="I9" t="s">
        <v>203</v>
      </c>
      <c r="J9" t="s">
        <v>679</v>
      </c>
      <c r="K9" t="s">
        <v>318</v>
      </c>
      <c r="M9" t="s">
        <v>502</v>
      </c>
      <c r="N9" t="s">
        <v>564</v>
      </c>
      <c r="O9" t="str">
        <f t="shared" si="0"/>
        <v>S</v>
      </c>
      <c r="P9" t="str">
        <f t="shared" si="1"/>
        <v>04/02/2025</v>
      </c>
      <c r="Q9">
        <v>1</v>
      </c>
    </row>
    <row r="10" spans="1:17" ht="16.5" x14ac:dyDescent="0.25">
      <c r="A10">
        <v>9</v>
      </c>
      <c r="B10" t="s">
        <v>849</v>
      </c>
      <c r="C10" s="4">
        <v>45579</v>
      </c>
      <c r="D10" s="2">
        <v>45702</v>
      </c>
      <c r="E10" s="2">
        <v>45703</v>
      </c>
      <c r="F10" t="s">
        <v>7</v>
      </c>
      <c r="G10" t="s">
        <v>89</v>
      </c>
      <c r="H10" t="s">
        <v>582</v>
      </c>
      <c r="I10" t="s">
        <v>205</v>
      </c>
      <c r="J10" t="s">
        <v>680</v>
      </c>
      <c r="K10" t="s">
        <v>319</v>
      </c>
      <c r="M10" t="s">
        <v>503</v>
      </c>
      <c r="N10" t="s">
        <v>566</v>
      </c>
      <c r="O10" t="str">
        <f t="shared" si="0"/>
        <v>S</v>
      </c>
      <c r="P10" t="str">
        <f t="shared" si="1"/>
        <v>14/02/2025</v>
      </c>
      <c r="Q10">
        <v>1</v>
      </c>
    </row>
    <row r="11" spans="1:17" ht="16.5" x14ac:dyDescent="0.25">
      <c r="A11">
        <v>10</v>
      </c>
      <c r="B11" t="s">
        <v>849</v>
      </c>
      <c r="C11" s="4">
        <v>45579</v>
      </c>
      <c r="D11" s="2">
        <v>45702</v>
      </c>
      <c r="E11" s="2">
        <v>45703</v>
      </c>
      <c r="F11" t="s">
        <v>7</v>
      </c>
      <c r="G11" t="s">
        <v>89</v>
      </c>
      <c r="H11" t="s">
        <v>582</v>
      </c>
      <c r="I11" t="s">
        <v>203</v>
      </c>
      <c r="J11" t="s">
        <v>680</v>
      </c>
      <c r="K11" t="s">
        <v>319</v>
      </c>
      <c r="M11" t="s">
        <v>503</v>
      </c>
      <c r="N11" t="s">
        <v>566</v>
      </c>
      <c r="O11" t="str">
        <f t="shared" si="0"/>
        <v>S</v>
      </c>
      <c r="P11" t="str">
        <f t="shared" si="1"/>
        <v>14/02/2025</v>
      </c>
      <c r="Q11">
        <v>1</v>
      </c>
    </row>
    <row r="12" spans="1:17" ht="16.5" x14ac:dyDescent="0.25">
      <c r="A12">
        <v>11</v>
      </c>
      <c r="B12" t="s">
        <v>849</v>
      </c>
      <c r="C12" s="4">
        <v>45693</v>
      </c>
      <c r="D12" s="2">
        <v>45704</v>
      </c>
      <c r="E12" s="2">
        <v>45706</v>
      </c>
      <c r="F12" t="s">
        <v>8</v>
      </c>
      <c r="G12" t="s">
        <v>90</v>
      </c>
      <c r="H12" t="s">
        <v>583</v>
      </c>
      <c r="I12" t="s">
        <v>206</v>
      </c>
      <c r="J12" t="s">
        <v>681</v>
      </c>
      <c r="K12" t="s">
        <v>320</v>
      </c>
      <c r="M12" t="s">
        <v>503</v>
      </c>
      <c r="N12" t="s">
        <v>564</v>
      </c>
      <c r="O12" t="str">
        <f t="shared" si="0"/>
        <v>S</v>
      </c>
      <c r="P12" t="str">
        <f t="shared" si="1"/>
        <v>14/02/2025</v>
      </c>
      <c r="Q12">
        <v>1</v>
      </c>
    </row>
    <row r="13" spans="1:17" ht="16.5" x14ac:dyDescent="0.25">
      <c r="A13">
        <v>12</v>
      </c>
      <c r="B13" t="s">
        <v>849</v>
      </c>
      <c r="C13" s="4">
        <v>45693</v>
      </c>
      <c r="D13" s="2">
        <v>45704</v>
      </c>
      <c r="E13" s="2">
        <v>45706</v>
      </c>
      <c r="F13" t="s">
        <v>8</v>
      </c>
      <c r="G13" t="s">
        <v>90</v>
      </c>
      <c r="H13" t="s">
        <v>583</v>
      </c>
      <c r="I13" t="s">
        <v>203</v>
      </c>
      <c r="J13" t="s">
        <v>681</v>
      </c>
      <c r="K13" t="s">
        <v>320</v>
      </c>
      <c r="M13" t="s">
        <v>503</v>
      </c>
      <c r="N13" t="s">
        <v>564</v>
      </c>
      <c r="O13" t="str">
        <f t="shared" si="0"/>
        <v>S</v>
      </c>
      <c r="P13" t="str">
        <f t="shared" si="1"/>
        <v>14/02/2025</v>
      </c>
      <c r="Q13">
        <v>1</v>
      </c>
    </row>
    <row r="14" spans="1:17" ht="16.5" x14ac:dyDescent="0.25">
      <c r="A14">
        <v>13</v>
      </c>
      <c r="B14" t="s">
        <v>849</v>
      </c>
      <c r="C14" s="4">
        <v>45673</v>
      </c>
      <c r="D14" s="2">
        <v>45706</v>
      </c>
      <c r="E14" s="2">
        <v>45706</v>
      </c>
      <c r="F14" t="s">
        <v>9</v>
      </c>
      <c r="G14" t="s">
        <v>91</v>
      </c>
      <c r="H14" t="s">
        <v>584</v>
      </c>
      <c r="I14" t="s">
        <v>207</v>
      </c>
      <c r="J14" t="s">
        <v>682</v>
      </c>
      <c r="K14" t="s">
        <v>321</v>
      </c>
      <c r="M14" t="s">
        <v>503</v>
      </c>
      <c r="N14" t="s">
        <v>564</v>
      </c>
      <c r="O14" t="str">
        <f t="shared" si="0"/>
        <v>S</v>
      </c>
      <c r="P14" t="str">
        <f t="shared" si="1"/>
        <v>14/02/2025</v>
      </c>
      <c r="Q14">
        <v>1</v>
      </c>
    </row>
    <row r="15" spans="1:17" ht="16.5" x14ac:dyDescent="0.25">
      <c r="A15">
        <v>14</v>
      </c>
      <c r="B15" t="s">
        <v>849</v>
      </c>
      <c r="C15" s="4">
        <v>45673</v>
      </c>
      <c r="D15" s="2">
        <v>45706</v>
      </c>
      <c r="E15" s="2">
        <v>45706</v>
      </c>
      <c r="F15" t="s">
        <v>9</v>
      </c>
      <c r="G15" t="s">
        <v>91</v>
      </c>
      <c r="H15" t="s">
        <v>584</v>
      </c>
      <c r="I15" t="s">
        <v>208</v>
      </c>
      <c r="J15" t="s">
        <v>682</v>
      </c>
      <c r="K15" t="s">
        <v>321</v>
      </c>
      <c r="M15" t="s">
        <v>503</v>
      </c>
      <c r="N15" t="s">
        <v>564</v>
      </c>
      <c r="O15" t="str">
        <f t="shared" si="0"/>
        <v>S</v>
      </c>
      <c r="P15" t="str">
        <f t="shared" si="1"/>
        <v>14/02/2025</v>
      </c>
      <c r="Q15">
        <v>1</v>
      </c>
    </row>
    <row r="16" spans="1:17" ht="16.5" x14ac:dyDescent="0.25">
      <c r="A16">
        <v>15</v>
      </c>
      <c r="B16" t="s">
        <v>1</v>
      </c>
      <c r="C16" s="4">
        <v>45707</v>
      </c>
      <c r="D16" s="2">
        <v>45713</v>
      </c>
      <c r="E16" s="2">
        <v>45714</v>
      </c>
      <c r="F16" t="s">
        <v>10</v>
      </c>
      <c r="G16" t="s">
        <v>92</v>
      </c>
      <c r="H16" t="s">
        <v>585</v>
      </c>
      <c r="I16" t="s">
        <v>209</v>
      </c>
      <c r="J16" t="s">
        <v>683</v>
      </c>
      <c r="K16" t="s">
        <v>322</v>
      </c>
      <c r="M16" t="s">
        <v>504</v>
      </c>
      <c r="N16" t="s">
        <v>567</v>
      </c>
      <c r="O16" t="str">
        <f t="shared" si="0"/>
        <v>S</v>
      </c>
      <c r="P16" t="str">
        <f t="shared" si="1"/>
        <v>25/02/2025</v>
      </c>
      <c r="Q16">
        <v>1</v>
      </c>
    </row>
    <row r="17" spans="1:17" ht="16.5" x14ac:dyDescent="0.25">
      <c r="A17">
        <v>16</v>
      </c>
      <c r="B17" t="s">
        <v>2</v>
      </c>
      <c r="C17" s="4">
        <v>45707</v>
      </c>
      <c r="D17" s="2">
        <v>45713</v>
      </c>
      <c r="E17" s="2">
        <v>45714</v>
      </c>
      <c r="F17" t="s">
        <v>10</v>
      </c>
      <c r="G17" t="s">
        <v>92</v>
      </c>
      <c r="H17" t="s">
        <v>585</v>
      </c>
      <c r="I17" t="s">
        <v>208</v>
      </c>
      <c r="J17" t="s">
        <v>683</v>
      </c>
      <c r="K17" t="s">
        <v>322</v>
      </c>
      <c r="M17" t="s">
        <v>504</v>
      </c>
      <c r="N17" t="s">
        <v>568</v>
      </c>
      <c r="O17" t="str">
        <f t="shared" si="0"/>
        <v>S</v>
      </c>
      <c r="P17" t="str">
        <f t="shared" si="1"/>
        <v>25/02/2025</v>
      </c>
      <c r="Q17">
        <v>1</v>
      </c>
    </row>
    <row r="18" spans="1:17" ht="16.5" x14ac:dyDescent="0.25">
      <c r="A18">
        <v>17</v>
      </c>
      <c r="B18" t="s">
        <v>1</v>
      </c>
      <c r="C18" s="4">
        <v>45574</v>
      </c>
      <c r="D18" s="2">
        <v>45715</v>
      </c>
      <c r="E18" s="2">
        <v>45716</v>
      </c>
      <c r="F18" t="s">
        <v>11</v>
      </c>
      <c r="G18" t="s">
        <v>93</v>
      </c>
      <c r="H18" t="s">
        <v>586</v>
      </c>
      <c r="I18" t="s">
        <v>210</v>
      </c>
      <c r="J18" t="s">
        <v>684</v>
      </c>
      <c r="K18" t="s">
        <v>323</v>
      </c>
      <c r="M18" t="s">
        <v>504</v>
      </c>
      <c r="N18" t="s">
        <v>567</v>
      </c>
      <c r="O18" t="str">
        <f t="shared" si="0"/>
        <v>S</v>
      </c>
      <c r="P18" t="str">
        <f t="shared" si="1"/>
        <v>25/02/2025</v>
      </c>
      <c r="Q18">
        <v>1</v>
      </c>
    </row>
    <row r="19" spans="1:17" ht="16.5" x14ac:dyDescent="0.25">
      <c r="A19">
        <v>18</v>
      </c>
      <c r="B19" t="s">
        <v>2</v>
      </c>
      <c r="C19" s="4">
        <v>45574</v>
      </c>
      <c r="D19" s="2">
        <v>45715</v>
      </c>
      <c r="E19" s="2">
        <v>45716</v>
      </c>
      <c r="F19" t="s">
        <v>11</v>
      </c>
      <c r="G19" t="s">
        <v>93</v>
      </c>
      <c r="H19" t="s">
        <v>586</v>
      </c>
      <c r="I19" t="s">
        <v>208</v>
      </c>
      <c r="J19" t="s">
        <v>684</v>
      </c>
      <c r="K19" t="s">
        <v>323</v>
      </c>
      <c r="M19" t="s">
        <v>504</v>
      </c>
      <c r="N19" t="s">
        <v>569</v>
      </c>
      <c r="O19" t="str">
        <f t="shared" si="0"/>
        <v>S</v>
      </c>
      <c r="P19" t="str">
        <f t="shared" si="1"/>
        <v>25/02/2025</v>
      </c>
      <c r="Q19">
        <v>1</v>
      </c>
    </row>
    <row r="20" spans="1:17" ht="16.5" x14ac:dyDescent="0.25">
      <c r="A20">
        <v>19</v>
      </c>
      <c r="B20" t="s">
        <v>1</v>
      </c>
      <c r="C20" s="4">
        <v>45326</v>
      </c>
      <c r="D20" s="2">
        <v>45715</v>
      </c>
      <c r="E20" s="2">
        <v>45716</v>
      </c>
      <c r="F20" t="s">
        <v>12</v>
      </c>
      <c r="G20" t="s">
        <v>94</v>
      </c>
      <c r="H20" t="s">
        <v>587</v>
      </c>
      <c r="I20" t="s">
        <v>211</v>
      </c>
      <c r="J20" t="s">
        <v>685</v>
      </c>
      <c r="K20" t="s">
        <v>323</v>
      </c>
      <c r="M20" t="s">
        <v>504</v>
      </c>
      <c r="N20" t="s">
        <v>567</v>
      </c>
      <c r="O20" t="str">
        <f t="shared" si="0"/>
        <v>S</v>
      </c>
      <c r="P20" t="str">
        <f t="shared" si="1"/>
        <v>25/02/2025</v>
      </c>
      <c r="Q20">
        <v>1</v>
      </c>
    </row>
    <row r="21" spans="1:17" ht="16.5" x14ac:dyDescent="0.25">
      <c r="A21">
        <v>20</v>
      </c>
      <c r="B21" t="s">
        <v>2</v>
      </c>
      <c r="C21" s="4">
        <v>45326</v>
      </c>
      <c r="D21" s="2">
        <v>45715</v>
      </c>
      <c r="E21" s="2">
        <v>45716</v>
      </c>
      <c r="F21" t="s">
        <v>12</v>
      </c>
      <c r="G21" t="s">
        <v>94</v>
      </c>
      <c r="H21" t="s">
        <v>587</v>
      </c>
      <c r="I21" t="s">
        <v>203</v>
      </c>
      <c r="J21" t="s">
        <v>685</v>
      </c>
      <c r="K21" t="s">
        <v>323</v>
      </c>
      <c r="M21" t="s">
        <v>504</v>
      </c>
      <c r="N21" t="s">
        <v>569</v>
      </c>
      <c r="O21" t="str">
        <f t="shared" si="0"/>
        <v>S</v>
      </c>
      <c r="P21" t="str">
        <f t="shared" si="1"/>
        <v>25/02/2025</v>
      </c>
      <c r="Q21">
        <v>1</v>
      </c>
    </row>
    <row r="22" spans="1:17" ht="16.5" x14ac:dyDescent="0.25">
      <c r="A22">
        <v>21</v>
      </c>
      <c r="B22" t="s">
        <v>1</v>
      </c>
      <c r="C22" s="4">
        <v>45693</v>
      </c>
      <c r="D22" s="2">
        <v>45715</v>
      </c>
      <c r="E22" s="2">
        <v>45716</v>
      </c>
      <c r="F22" t="s">
        <v>13</v>
      </c>
      <c r="G22" t="s">
        <v>90</v>
      </c>
      <c r="H22" t="s">
        <v>583</v>
      </c>
      <c r="I22" t="s">
        <v>206</v>
      </c>
      <c r="J22" t="s">
        <v>681</v>
      </c>
      <c r="K22" t="s">
        <v>323</v>
      </c>
      <c r="M22" t="s">
        <v>504</v>
      </c>
      <c r="N22" t="s">
        <v>567</v>
      </c>
      <c r="O22" t="str">
        <f t="shared" si="0"/>
        <v>S</v>
      </c>
      <c r="P22" t="str">
        <f t="shared" si="1"/>
        <v>25/02/2025</v>
      </c>
      <c r="Q22">
        <v>1</v>
      </c>
    </row>
    <row r="23" spans="1:17" ht="16.5" x14ac:dyDescent="0.25">
      <c r="A23">
        <v>22</v>
      </c>
      <c r="B23" t="s">
        <v>2</v>
      </c>
      <c r="C23" s="4">
        <v>45693</v>
      </c>
      <c r="D23" s="2">
        <v>45715</v>
      </c>
      <c r="E23" s="2">
        <v>45716</v>
      </c>
      <c r="F23" t="s">
        <v>13</v>
      </c>
      <c r="G23" t="s">
        <v>90</v>
      </c>
      <c r="H23" t="s">
        <v>583</v>
      </c>
      <c r="I23" t="s">
        <v>203</v>
      </c>
      <c r="J23" t="s">
        <v>681</v>
      </c>
      <c r="K23" t="s">
        <v>323</v>
      </c>
      <c r="M23" t="s">
        <v>504</v>
      </c>
      <c r="N23" t="s">
        <v>569</v>
      </c>
      <c r="O23" t="str">
        <f t="shared" si="0"/>
        <v>S</v>
      </c>
      <c r="P23" t="str">
        <f t="shared" si="1"/>
        <v>25/02/2025</v>
      </c>
      <c r="Q23">
        <v>1</v>
      </c>
    </row>
    <row r="24" spans="1:17" ht="16.5" x14ac:dyDescent="0.25">
      <c r="A24">
        <v>23</v>
      </c>
      <c r="B24" t="s">
        <v>849</v>
      </c>
      <c r="C24" s="4">
        <v>45652</v>
      </c>
      <c r="D24" s="2">
        <v>45723</v>
      </c>
      <c r="E24" s="2">
        <v>45724</v>
      </c>
      <c r="F24" t="s">
        <v>6</v>
      </c>
      <c r="G24" t="s">
        <v>88</v>
      </c>
      <c r="H24" t="s">
        <v>581</v>
      </c>
      <c r="I24" t="s">
        <v>204</v>
      </c>
      <c r="J24" t="s">
        <v>679</v>
      </c>
      <c r="K24" t="s">
        <v>324</v>
      </c>
      <c r="M24" t="s">
        <v>505</v>
      </c>
      <c r="N24" t="s">
        <v>564</v>
      </c>
      <c r="O24" t="str">
        <f t="shared" si="0"/>
        <v>S</v>
      </c>
      <c r="P24" t="str">
        <f t="shared" si="1"/>
        <v>07/03/2025</v>
      </c>
      <c r="Q24">
        <v>1</v>
      </c>
    </row>
    <row r="25" spans="1:17" ht="16.5" x14ac:dyDescent="0.25">
      <c r="A25">
        <v>24</v>
      </c>
      <c r="B25" t="s">
        <v>849</v>
      </c>
      <c r="C25" s="4">
        <v>45652</v>
      </c>
      <c r="D25" s="2">
        <v>45723</v>
      </c>
      <c r="E25" s="2">
        <v>45724</v>
      </c>
      <c r="F25" t="s">
        <v>6</v>
      </c>
      <c r="G25" t="s">
        <v>88</v>
      </c>
      <c r="H25" t="s">
        <v>581</v>
      </c>
      <c r="I25" t="s">
        <v>203</v>
      </c>
      <c r="J25" t="s">
        <v>679</v>
      </c>
      <c r="K25" t="s">
        <v>324</v>
      </c>
      <c r="M25" t="s">
        <v>505</v>
      </c>
      <c r="N25" t="s">
        <v>564</v>
      </c>
      <c r="O25" t="str">
        <f t="shared" si="0"/>
        <v>S</v>
      </c>
      <c r="P25" t="str">
        <f t="shared" si="1"/>
        <v>07/03/2025</v>
      </c>
      <c r="Q25">
        <v>1</v>
      </c>
    </row>
    <row r="26" spans="1:17" ht="16.5" x14ac:dyDescent="0.25">
      <c r="A26">
        <v>25</v>
      </c>
      <c r="B26" t="s">
        <v>849</v>
      </c>
      <c r="C26" s="4">
        <v>45722</v>
      </c>
      <c r="D26" s="2">
        <v>45723</v>
      </c>
      <c r="E26" s="2">
        <v>45724</v>
      </c>
      <c r="F26" t="s">
        <v>14</v>
      </c>
      <c r="G26" t="s">
        <v>95</v>
      </c>
      <c r="H26" t="s">
        <v>588</v>
      </c>
      <c r="I26" t="s">
        <v>212</v>
      </c>
      <c r="J26" t="s">
        <v>679</v>
      </c>
      <c r="K26" t="s">
        <v>325</v>
      </c>
      <c r="M26" t="s">
        <v>505</v>
      </c>
      <c r="N26" t="s">
        <v>564</v>
      </c>
      <c r="O26" t="str">
        <f t="shared" si="0"/>
        <v>S</v>
      </c>
      <c r="P26" t="str">
        <f t="shared" si="1"/>
        <v>07/03/2025</v>
      </c>
      <c r="Q26">
        <v>1</v>
      </c>
    </row>
    <row r="27" spans="1:17" ht="16.5" x14ac:dyDescent="0.25">
      <c r="A27">
        <v>26</v>
      </c>
      <c r="B27" t="s">
        <v>849</v>
      </c>
      <c r="C27" s="4">
        <v>45722</v>
      </c>
      <c r="D27" s="2">
        <v>45723</v>
      </c>
      <c r="E27" s="2">
        <v>45724</v>
      </c>
      <c r="F27" t="s">
        <v>14</v>
      </c>
      <c r="G27" t="s">
        <v>95</v>
      </c>
      <c r="H27" t="s">
        <v>588</v>
      </c>
      <c r="I27" t="s">
        <v>212</v>
      </c>
      <c r="J27" t="s">
        <v>679</v>
      </c>
      <c r="K27" t="s">
        <v>325</v>
      </c>
      <c r="M27" t="s">
        <v>505</v>
      </c>
      <c r="N27" t="s">
        <v>564</v>
      </c>
      <c r="O27" t="str">
        <f t="shared" si="0"/>
        <v>S</v>
      </c>
      <c r="P27" t="str">
        <f t="shared" si="1"/>
        <v>07/03/2025</v>
      </c>
      <c r="Q27">
        <v>1</v>
      </c>
    </row>
    <row r="28" spans="1:17" ht="16.5" x14ac:dyDescent="0.25">
      <c r="A28">
        <v>27</v>
      </c>
      <c r="B28" t="s">
        <v>849</v>
      </c>
      <c r="C28" s="4">
        <v>45692</v>
      </c>
      <c r="D28" s="2">
        <v>45728</v>
      </c>
      <c r="E28" s="2">
        <v>45728</v>
      </c>
      <c r="F28" t="s">
        <v>15</v>
      </c>
      <c r="G28" t="s">
        <v>96</v>
      </c>
      <c r="H28" t="s">
        <v>588</v>
      </c>
      <c r="I28" t="s">
        <v>213</v>
      </c>
      <c r="J28" t="s">
        <v>686</v>
      </c>
      <c r="K28" t="s">
        <v>326</v>
      </c>
      <c r="M28" t="s">
        <v>506</v>
      </c>
      <c r="N28" t="s">
        <v>564</v>
      </c>
      <c r="O28" t="str">
        <f t="shared" si="0"/>
        <v>S</v>
      </c>
      <c r="P28" t="str">
        <f t="shared" si="1"/>
        <v>12/03/2025</v>
      </c>
      <c r="Q28">
        <v>1</v>
      </c>
    </row>
    <row r="29" spans="1:17" ht="16.5" x14ac:dyDescent="0.25">
      <c r="A29">
        <v>28</v>
      </c>
      <c r="B29" t="s">
        <v>849</v>
      </c>
      <c r="C29" s="4">
        <v>45692</v>
      </c>
      <c r="D29" s="2">
        <v>45728</v>
      </c>
      <c r="E29" s="2">
        <v>45728</v>
      </c>
      <c r="F29" t="s">
        <v>15</v>
      </c>
      <c r="G29" t="s">
        <v>96</v>
      </c>
      <c r="H29" t="s">
        <v>588</v>
      </c>
      <c r="I29" t="s">
        <v>203</v>
      </c>
      <c r="J29" t="s">
        <v>686</v>
      </c>
      <c r="K29" t="s">
        <v>326</v>
      </c>
      <c r="M29" t="s">
        <v>506</v>
      </c>
      <c r="N29" t="s">
        <v>564</v>
      </c>
      <c r="O29" t="str">
        <f t="shared" si="0"/>
        <v>S</v>
      </c>
      <c r="P29" t="str">
        <f t="shared" si="1"/>
        <v>12/03/2025</v>
      </c>
      <c r="Q29">
        <v>1</v>
      </c>
    </row>
    <row r="30" spans="1:17" ht="16.5" x14ac:dyDescent="0.25">
      <c r="A30">
        <v>29</v>
      </c>
      <c r="B30" t="s">
        <v>1</v>
      </c>
      <c r="C30" s="4">
        <v>45692</v>
      </c>
      <c r="D30" s="2">
        <v>45729</v>
      </c>
      <c r="E30" s="2">
        <v>45729</v>
      </c>
      <c r="F30" t="s">
        <v>15</v>
      </c>
      <c r="G30" t="s">
        <v>97</v>
      </c>
      <c r="H30" t="s">
        <v>588</v>
      </c>
      <c r="I30" t="s">
        <v>213</v>
      </c>
      <c r="J30" t="s">
        <v>686</v>
      </c>
      <c r="K30" t="s">
        <v>327</v>
      </c>
      <c r="M30" t="s">
        <v>506</v>
      </c>
      <c r="N30" t="s">
        <v>566</v>
      </c>
      <c r="O30" t="str">
        <f t="shared" si="0"/>
        <v>S</v>
      </c>
      <c r="P30" t="str">
        <f t="shared" si="1"/>
        <v>12/03/2025</v>
      </c>
      <c r="Q30">
        <v>1</v>
      </c>
    </row>
    <row r="31" spans="1:17" ht="16.5" x14ac:dyDescent="0.25">
      <c r="A31">
        <v>30</v>
      </c>
      <c r="B31" t="s">
        <v>2</v>
      </c>
      <c r="C31" s="4">
        <v>45692</v>
      </c>
      <c r="D31" s="2">
        <v>45729</v>
      </c>
      <c r="E31" s="2">
        <v>45729</v>
      </c>
      <c r="F31" t="s">
        <v>15</v>
      </c>
      <c r="G31" t="s">
        <v>97</v>
      </c>
      <c r="H31" t="s">
        <v>588</v>
      </c>
      <c r="I31" t="s">
        <v>203</v>
      </c>
      <c r="J31" t="s">
        <v>686</v>
      </c>
      <c r="K31" t="s">
        <v>327</v>
      </c>
      <c r="M31" t="s">
        <v>506</v>
      </c>
      <c r="N31" t="s">
        <v>570</v>
      </c>
      <c r="O31" t="str">
        <f t="shared" si="0"/>
        <v>S</v>
      </c>
      <c r="P31" t="str">
        <f t="shared" si="1"/>
        <v>12/03/2025</v>
      </c>
      <c r="Q31">
        <v>1</v>
      </c>
    </row>
    <row r="32" spans="1:17" ht="16.5" x14ac:dyDescent="0.25">
      <c r="A32">
        <v>31</v>
      </c>
      <c r="B32" t="s">
        <v>849</v>
      </c>
      <c r="C32" s="4">
        <v>45722</v>
      </c>
      <c r="D32" s="2">
        <v>45730</v>
      </c>
      <c r="E32" s="2">
        <v>45730</v>
      </c>
      <c r="F32" t="s">
        <v>14</v>
      </c>
      <c r="G32" t="s">
        <v>98</v>
      </c>
      <c r="H32" t="s">
        <v>589</v>
      </c>
      <c r="I32" t="s">
        <v>214</v>
      </c>
      <c r="J32" t="s">
        <v>687</v>
      </c>
      <c r="K32" t="s">
        <v>328</v>
      </c>
      <c r="M32" t="s">
        <v>506</v>
      </c>
      <c r="N32" t="s">
        <v>570</v>
      </c>
      <c r="O32" t="str">
        <f t="shared" si="0"/>
        <v>S</v>
      </c>
      <c r="P32" t="str">
        <f t="shared" si="1"/>
        <v>12/03/2025</v>
      </c>
      <c r="Q32">
        <v>1</v>
      </c>
    </row>
    <row r="33" spans="1:17" ht="16.5" x14ac:dyDescent="0.25">
      <c r="A33">
        <v>32</v>
      </c>
      <c r="B33" t="s">
        <v>849</v>
      </c>
      <c r="C33" s="4">
        <v>45722</v>
      </c>
      <c r="D33" s="2">
        <v>45730</v>
      </c>
      <c r="E33" s="2">
        <v>45730</v>
      </c>
      <c r="F33" t="s">
        <v>14</v>
      </c>
      <c r="G33" t="s">
        <v>98</v>
      </c>
      <c r="H33" t="s">
        <v>589</v>
      </c>
      <c r="I33" t="s">
        <v>208</v>
      </c>
      <c r="J33" t="s">
        <v>687</v>
      </c>
      <c r="K33" t="s">
        <v>328</v>
      </c>
      <c r="M33" t="s">
        <v>506</v>
      </c>
      <c r="N33" t="s">
        <v>570</v>
      </c>
      <c r="O33" t="str">
        <f t="shared" si="0"/>
        <v>S</v>
      </c>
      <c r="P33" t="str">
        <f t="shared" si="1"/>
        <v>12/03/2025</v>
      </c>
      <c r="Q33">
        <v>1</v>
      </c>
    </row>
    <row r="34" spans="1:17" ht="16.5" x14ac:dyDescent="0.25">
      <c r="A34">
        <v>33</v>
      </c>
      <c r="B34" t="s">
        <v>849</v>
      </c>
      <c r="C34" s="4">
        <v>45693</v>
      </c>
      <c r="D34" s="2">
        <v>45734</v>
      </c>
      <c r="E34" s="2">
        <v>45735</v>
      </c>
      <c r="F34" t="s">
        <v>16</v>
      </c>
      <c r="G34" t="s">
        <v>99</v>
      </c>
      <c r="H34" t="s">
        <v>590</v>
      </c>
      <c r="I34" t="s">
        <v>215</v>
      </c>
      <c r="J34" t="s">
        <v>688</v>
      </c>
      <c r="K34" t="s">
        <v>329</v>
      </c>
      <c r="M34" t="s">
        <v>507</v>
      </c>
      <c r="N34" t="s">
        <v>566</v>
      </c>
      <c r="O34" t="str">
        <f t="shared" ref="O34:O65" si="2">IF(OR(ISNUMBER(FIND("ENTREGUES",M34)),N34="Preto",N34="Cinza"),"S","N")</f>
        <v>S</v>
      </c>
      <c r="P34" t="str">
        <f t="shared" si="1"/>
        <v>18/03/2025</v>
      </c>
      <c r="Q34">
        <v>1</v>
      </c>
    </row>
    <row r="35" spans="1:17" ht="16.5" x14ac:dyDescent="0.25">
      <c r="A35">
        <v>34</v>
      </c>
      <c r="B35" t="s">
        <v>849</v>
      </c>
      <c r="C35" s="4">
        <v>45693</v>
      </c>
      <c r="D35" s="2">
        <v>45734</v>
      </c>
      <c r="E35" s="2">
        <v>45735</v>
      </c>
      <c r="F35" t="s">
        <v>16</v>
      </c>
      <c r="G35" t="s">
        <v>99</v>
      </c>
      <c r="H35" t="s">
        <v>590</v>
      </c>
      <c r="I35" t="s">
        <v>203</v>
      </c>
      <c r="J35" t="s">
        <v>688</v>
      </c>
      <c r="K35" t="s">
        <v>329</v>
      </c>
      <c r="M35" t="s">
        <v>507</v>
      </c>
      <c r="N35" t="s">
        <v>566</v>
      </c>
      <c r="O35" t="str">
        <f t="shared" si="2"/>
        <v>S</v>
      </c>
      <c r="P35" t="str">
        <f t="shared" si="1"/>
        <v>18/03/2025</v>
      </c>
      <c r="Q35">
        <v>1</v>
      </c>
    </row>
    <row r="36" spans="1:17" ht="16.5" x14ac:dyDescent="0.25">
      <c r="A36">
        <v>35</v>
      </c>
      <c r="B36" t="s">
        <v>0</v>
      </c>
      <c r="C36" s="4">
        <v>45716</v>
      </c>
      <c r="D36" s="2">
        <v>45733</v>
      </c>
      <c r="E36" s="2">
        <v>45734</v>
      </c>
      <c r="F36" t="s">
        <v>17</v>
      </c>
      <c r="G36" t="s">
        <v>100</v>
      </c>
      <c r="H36" t="s">
        <v>591</v>
      </c>
      <c r="I36" t="s">
        <v>216</v>
      </c>
      <c r="J36" t="s">
        <v>689</v>
      </c>
      <c r="K36" t="s">
        <v>330</v>
      </c>
      <c r="M36" t="s">
        <v>508</v>
      </c>
      <c r="N36" t="s">
        <v>565</v>
      </c>
      <c r="O36" t="str">
        <f t="shared" si="2"/>
        <v>S</v>
      </c>
      <c r="P36" t="str">
        <f t="shared" si="1"/>
        <v/>
      </c>
      <c r="Q36">
        <v>1</v>
      </c>
    </row>
    <row r="37" spans="1:17" ht="16.5" x14ac:dyDescent="0.25">
      <c r="A37">
        <v>36</v>
      </c>
      <c r="B37" t="s">
        <v>0</v>
      </c>
      <c r="C37" s="4">
        <v>45716</v>
      </c>
      <c r="D37" s="2">
        <v>45733</v>
      </c>
      <c r="E37" s="2">
        <v>45734</v>
      </c>
      <c r="F37" t="s">
        <v>17</v>
      </c>
      <c r="G37" t="s">
        <v>100</v>
      </c>
      <c r="H37" t="s">
        <v>591</v>
      </c>
      <c r="I37" t="s">
        <v>203</v>
      </c>
      <c r="J37" t="s">
        <v>689</v>
      </c>
      <c r="K37" t="s">
        <v>330</v>
      </c>
      <c r="M37" t="s">
        <v>509</v>
      </c>
      <c r="N37" t="s">
        <v>565</v>
      </c>
      <c r="O37" t="str">
        <f t="shared" si="2"/>
        <v>S</v>
      </c>
      <c r="P37" t="str">
        <f t="shared" si="1"/>
        <v/>
      </c>
      <c r="Q37">
        <v>1</v>
      </c>
    </row>
    <row r="38" spans="1:17" ht="16.5" x14ac:dyDescent="0.25">
      <c r="A38">
        <v>37</v>
      </c>
      <c r="B38" t="s">
        <v>1</v>
      </c>
      <c r="C38" s="4">
        <v>45693</v>
      </c>
      <c r="D38" s="2">
        <v>45737</v>
      </c>
      <c r="E38" s="2">
        <v>45738</v>
      </c>
      <c r="F38" t="s">
        <v>13</v>
      </c>
      <c r="G38" t="s">
        <v>90</v>
      </c>
      <c r="H38" t="s">
        <v>583</v>
      </c>
      <c r="I38" t="s">
        <v>206</v>
      </c>
      <c r="J38" t="s">
        <v>681</v>
      </c>
      <c r="K38" t="s">
        <v>331</v>
      </c>
      <c r="M38" t="s">
        <v>507</v>
      </c>
      <c r="N38" t="s">
        <v>566</v>
      </c>
      <c r="O38" t="str">
        <f t="shared" si="2"/>
        <v>S</v>
      </c>
      <c r="P38" t="str">
        <f t="shared" si="1"/>
        <v>18/03/2025</v>
      </c>
      <c r="Q38">
        <v>1</v>
      </c>
    </row>
    <row r="39" spans="1:17" ht="16.5" x14ac:dyDescent="0.25">
      <c r="A39">
        <v>38</v>
      </c>
      <c r="B39" t="s">
        <v>2</v>
      </c>
      <c r="C39" s="4">
        <v>45693</v>
      </c>
      <c r="D39" s="2">
        <v>45737</v>
      </c>
      <c r="E39" s="2">
        <v>45738</v>
      </c>
      <c r="F39" t="s">
        <v>13</v>
      </c>
      <c r="G39" t="s">
        <v>90</v>
      </c>
      <c r="H39" t="s">
        <v>583</v>
      </c>
      <c r="I39" t="s">
        <v>203</v>
      </c>
      <c r="J39" t="s">
        <v>681</v>
      </c>
      <c r="K39" t="s">
        <v>331</v>
      </c>
      <c r="M39" t="s">
        <v>507</v>
      </c>
      <c r="N39" t="s">
        <v>568</v>
      </c>
      <c r="O39" t="str">
        <f t="shared" si="2"/>
        <v>S</v>
      </c>
      <c r="P39" t="str">
        <f t="shared" si="1"/>
        <v>18/03/2025</v>
      </c>
      <c r="Q39">
        <v>1</v>
      </c>
    </row>
    <row r="40" spans="1:17" ht="16.5" x14ac:dyDescent="0.25">
      <c r="A40">
        <v>39</v>
      </c>
      <c r="B40" t="s">
        <v>1</v>
      </c>
      <c r="C40" s="4">
        <v>45727</v>
      </c>
      <c r="D40" s="2">
        <v>45737</v>
      </c>
      <c r="E40" s="2">
        <v>45738</v>
      </c>
      <c r="F40" t="s">
        <v>18</v>
      </c>
      <c r="G40" t="s">
        <v>101</v>
      </c>
      <c r="H40" t="s">
        <v>592</v>
      </c>
      <c r="I40" t="s">
        <v>217</v>
      </c>
      <c r="J40" t="s">
        <v>690</v>
      </c>
      <c r="K40" t="s">
        <v>331</v>
      </c>
      <c r="M40" t="s">
        <v>507</v>
      </c>
      <c r="N40" t="s">
        <v>566</v>
      </c>
      <c r="O40" t="str">
        <f t="shared" si="2"/>
        <v>S</v>
      </c>
      <c r="P40" t="str">
        <f t="shared" si="1"/>
        <v>18/03/2025</v>
      </c>
      <c r="Q40">
        <v>1</v>
      </c>
    </row>
    <row r="41" spans="1:17" ht="16.5" x14ac:dyDescent="0.25">
      <c r="A41">
        <v>40</v>
      </c>
      <c r="B41" t="s">
        <v>2</v>
      </c>
      <c r="C41" s="4">
        <v>45727</v>
      </c>
      <c r="D41" s="2">
        <v>45737</v>
      </c>
      <c r="E41" s="2">
        <v>45738</v>
      </c>
      <c r="F41" t="s">
        <v>18</v>
      </c>
      <c r="G41" t="s">
        <v>101</v>
      </c>
      <c r="H41" t="s">
        <v>592</v>
      </c>
      <c r="I41" t="s">
        <v>203</v>
      </c>
      <c r="J41" t="s">
        <v>690</v>
      </c>
      <c r="K41" t="s">
        <v>331</v>
      </c>
      <c r="M41" t="s">
        <v>507</v>
      </c>
      <c r="N41" t="s">
        <v>568</v>
      </c>
      <c r="O41" t="str">
        <f t="shared" si="2"/>
        <v>S</v>
      </c>
      <c r="P41" t="str">
        <f t="shared" si="1"/>
        <v>18/03/2025</v>
      </c>
      <c r="Q41">
        <v>1</v>
      </c>
    </row>
    <row r="42" spans="1:17" ht="16.5" x14ac:dyDescent="0.25">
      <c r="A42">
        <v>41</v>
      </c>
      <c r="B42" t="s">
        <v>1</v>
      </c>
      <c r="C42" s="4">
        <v>45730</v>
      </c>
      <c r="D42" s="2">
        <v>45737</v>
      </c>
      <c r="E42" s="2">
        <v>45738</v>
      </c>
      <c r="F42" t="s">
        <v>19</v>
      </c>
      <c r="G42" t="s">
        <v>102</v>
      </c>
      <c r="H42" t="s">
        <v>593</v>
      </c>
      <c r="I42" t="s">
        <v>218</v>
      </c>
      <c r="J42" t="s">
        <v>691</v>
      </c>
      <c r="K42" t="s">
        <v>331</v>
      </c>
      <c r="M42" t="s">
        <v>507</v>
      </c>
      <c r="N42" t="s">
        <v>566</v>
      </c>
      <c r="O42" t="str">
        <f t="shared" si="2"/>
        <v>S</v>
      </c>
      <c r="P42" t="str">
        <f t="shared" si="1"/>
        <v>18/03/2025</v>
      </c>
      <c r="Q42">
        <v>1</v>
      </c>
    </row>
    <row r="43" spans="1:17" ht="16.5" x14ac:dyDescent="0.25">
      <c r="A43">
        <v>42</v>
      </c>
      <c r="B43" t="s">
        <v>2</v>
      </c>
      <c r="C43" s="4">
        <v>45730</v>
      </c>
      <c r="D43" s="2">
        <v>45737</v>
      </c>
      <c r="E43" s="2">
        <v>45738</v>
      </c>
      <c r="F43" t="s">
        <v>19</v>
      </c>
      <c r="G43" t="s">
        <v>102</v>
      </c>
      <c r="H43" t="s">
        <v>593</v>
      </c>
      <c r="I43" t="s">
        <v>203</v>
      </c>
      <c r="J43" t="s">
        <v>691</v>
      </c>
      <c r="K43" t="s">
        <v>331</v>
      </c>
      <c r="M43" t="s">
        <v>507</v>
      </c>
      <c r="N43" t="s">
        <v>568</v>
      </c>
      <c r="O43" t="str">
        <f t="shared" si="2"/>
        <v>S</v>
      </c>
      <c r="P43" t="str">
        <f t="shared" si="1"/>
        <v>18/03/2025</v>
      </c>
      <c r="Q43">
        <v>1</v>
      </c>
    </row>
    <row r="44" spans="1:17" ht="16.5" x14ac:dyDescent="0.25">
      <c r="A44">
        <v>43</v>
      </c>
      <c r="B44" t="s">
        <v>849</v>
      </c>
      <c r="C44" s="4">
        <v>45734</v>
      </c>
      <c r="D44" s="2">
        <v>45738</v>
      </c>
      <c r="E44" s="2">
        <v>45738</v>
      </c>
      <c r="F44" t="s">
        <v>20</v>
      </c>
      <c r="G44" t="s">
        <v>103</v>
      </c>
      <c r="H44" t="s">
        <v>594</v>
      </c>
      <c r="I44" t="s">
        <v>219</v>
      </c>
      <c r="J44" t="s">
        <v>692</v>
      </c>
      <c r="K44" t="s">
        <v>332</v>
      </c>
      <c r="M44" t="s">
        <v>577</v>
      </c>
      <c r="N44" t="s">
        <v>571</v>
      </c>
      <c r="O44" t="str">
        <f t="shared" si="2"/>
        <v>S</v>
      </c>
      <c r="Q44">
        <v>1</v>
      </c>
    </row>
    <row r="45" spans="1:17" ht="16.5" x14ac:dyDescent="0.25">
      <c r="A45">
        <v>44</v>
      </c>
      <c r="B45" t="s">
        <v>849</v>
      </c>
      <c r="C45" s="4">
        <v>45734</v>
      </c>
      <c r="D45" s="2">
        <v>45738</v>
      </c>
      <c r="E45" s="2">
        <v>45738</v>
      </c>
      <c r="F45" t="s">
        <v>20</v>
      </c>
      <c r="G45" t="s">
        <v>103</v>
      </c>
      <c r="H45" t="s">
        <v>594</v>
      </c>
      <c r="I45" t="s">
        <v>203</v>
      </c>
      <c r="J45" t="s">
        <v>692</v>
      </c>
      <c r="K45" t="s">
        <v>332</v>
      </c>
      <c r="M45" t="s">
        <v>507</v>
      </c>
      <c r="N45" t="s">
        <v>571</v>
      </c>
      <c r="O45" t="str">
        <f t="shared" si="2"/>
        <v>S</v>
      </c>
      <c r="P45" t="str">
        <f t="shared" ref="P45:P76" si="3">IF(N45="Preto", "", MID(M45, FIND("em ", M45) + 3, 10))</f>
        <v>18/03/2025</v>
      </c>
      <c r="Q45">
        <v>1</v>
      </c>
    </row>
    <row r="46" spans="1:17" ht="16.5" x14ac:dyDescent="0.25">
      <c r="A46">
        <v>45</v>
      </c>
      <c r="B46" t="s">
        <v>849</v>
      </c>
      <c r="C46" s="4">
        <v>45728</v>
      </c>
      <c r="D46" s="2">
        <v>45739</v>
      </c>
      <c r="E46" s="2">
        <v>45740</v>
      </c>
      <c r="F46" t="s">
        <v>21</v>
      </c>
      <c r="G46" t="s">
        <v>104</v>
      </c>
      <c r="H46" t="s">
        <v>595</v>
      </c>
      <c r="I46" t="s">
        <v>220</v>
      </c>
      <c r="J46" t="s">
        <v>693</v>
      </c>
      <c r="K46" t="s">
        <v>333</v>
      </c>
      <c r="M46" t="s">
        <v>507</v>
      </c>
      <c r="N46" t="s">
        <v>567</v>
      </c>
      <c r="O46" t="str">
        <f t="shared" si="2"/>
        <v>S</v>
      </c>
      <c r="P46" t="str">
        <f t="shared" si="3"/>
        <v>18/03/2025</v>
      </c>
      <c r="Q46">
        <v>1</v>
      </c>
    </row>
    <row r="47" spans="1:17" ht="16.5" x14ac:dyDescent="0.25">
      <c r="A47">
        <v>46</v>
      </c>
      <c r="B47" t="s">
        <v>849</v>
      </c>
      <c r="C47" s="4">
        <v>45728</v>
      </c>
      <c r="D47" s="2">
        <v>45739</v>
      </c>
      <c r="E47" s="2">
        <v>45740</v>
      </c>
      <c r="F47" t="s">
        <v>21</v>
      </c>
      <c r="G47" t="s">
        <v>104</v>
      </c>
      <c r="H47" t="s">
        <v>595</v>
      </c>
      <c r="I47" t="s">
        <v>203</v>
      </c>
      <c r="J47" t="s">
        <v>693</v>
      </c>
      <c r="K47" t="s">
        <v>333</v>
      </c>
      <c r="M47" t="s">
        <v>507</v>
      </c>
      <c r="N47" t="s">
        <v>567</v>
      </c>
      <c r="O47" t="str">
        <f t="shared" si="2"/>
        <v>S</v>
      </c>
      <c r="P47" t="str">
        <f t="shared" si="3"/>
        <v>18/03/2025</v>
      </c>
      <c r="Q47">
        <v>1</v>
      </c>
    </row>
    <row r="48" spans="1:17" ht="16.5" x14ac:dyDescent="0.25">
      <c r="A48">
        <v>47</v>
      </c>
      <c r="B48" t="s">
        <v>849</v>
      </c>
      <c r="C48" s="4">
        <v>45728</v>
      </c>
      <c r="D48" s="2">
        <v>45741</v>
      </c>
      <c r="E48" s="2">
        <v>45742</v>
      </c>
      <c r="F48" t="s">
        <v>22</v>
      </c>
      <c r="G48" t="s">
        <v>105</v>
      </c>
      <c r="H48" t="s">
        <v>596</v>
      </c>
      <c r="I48" t="s">
        <v>221</v>
      </c>
      <c r="J48" t="s">
        <v>694</v>
      </c>
      <c r="K48" t="s">
        <v>334</v>
      </c>
      <c r="M48" t="s">
        <v>510</v>
      </c>
      <c r="N48" t="s">
        <v>564</v>
      </c>
      <c r="O48" t="str">
        <f t="shared" si="2"/>
        <v>S</v>
      </c>
      <c r="P48" t="str">
        <f t="shared" si="3"/>
        <v>25/03/2025</v>
      </c>
      <c r="Q48">
        <v>1</v>
      </c>
    </row>
    <row r="49" spans="1:17" ht="16.5" x14ac:dyDescent="0.25">
      <c r="A49">
        <v>48</v>
      </c>
      <c r="B49" t="s">
        <v>849</v>
      </c>
      <c r="C49" s="4">
        <v>45728</v>
      </c>
      <c r="D49" s="2">
        <v>45741</v>
      </c>
      <c r="E49" s="2">
        <v>45742</v>
      </c>
      <c r="F49" t="s">
        <v>22</v>
      </c>
      <c r="G49" t="s">
        <v>105</v>
      </c>
      <c r="H49" t="s">
        <v>596</v>
      </c>
      <c r="I49" t="s">
        <v>203</v>
      </c>
      <c r="J49" t="s">
        <v>694</v>
      </c>
      <c r="K49" t="s">
        <v>334</v>
      </c>
      <c r="M49" t="s">
        <v>510</v>
      </c>
      <c r="N49" t="s">
        <v>564</v>
      </c>
      <c r="O49" t="str">
        <f t="shared" si="2"/>
        <v>S</v>
      </c>
      <c r="P49" t="str">
        <f t="shared" si="3"/>
        <v>25/03/2025</v>
      </c>
      <c r="Q49">
        <v>1</v>
      </c>
    </row>
    <row r="50" spans="1:17" ht="16.5" x14ac:dyDescent="0.25">
      <c r="A50">
        <v>49</v>
      </c>
      <c r="B50" t="s">
        <v>849</v>
      </c>
      <c r="C50" s="4">
        <v>45693</v>
      </c>
      <c r="D50" s="2">
        <v>45743</v>
      </c>
      <c r="E50" s="2">
        <v>45744</v>
      </c>
      <c r="F50" t="s">
        <v>13</v>
      </c>
      <c r="G50" t="s">
        <v>90</v>
      </c>
      <c r="H50" t="s">
        <v>583</v>
      </c>
      <c r="I50" t="s">
        <v>206</v>
      </c>
      <c r="J50" t="s">
        <v>681</v>
      </c>
      <c r="K50" t="s">
        <v>335</v>
      </c>
      <c r="M50" t="s">
        <v>510</v>
      </c>
      <c r="N50" t="s">
        <v>567</v>
      </c>
      <c r="O50" t="str">
        <f t="shared" si="2"/>
        <v>S</v>
      </c>
      <c r="P50" t="str">
        <f t="shared" si="3"/>
        <v>25/03/2025</v>
      </c>
      <c r="Q50">
        <v>1</v>
      </c>
    </row>
    <row r="51" spans="1:17" ht="16.5" x14ac:dyDescent="0.25">
      <c r="A51">
        <v>50</v>
      </c>
      <c r="B51" t="s">
        <v>849</v>
      </c>
      <c r="C51" s="4">
        <v>45693</v>
      </c>
      <c r="D51" s="2">
        <v>45743</v>
      </c>
      <c r="E51" s="2">
        <v>45744</v>
      </c>
      <c r="F51" t="s">
        <v>13</v>
      </c>
      <c r="G51" t="s">
        <v>90</v>
      </c>
      <c r="H51" t="s">
        <v>583</v>
      </c>
      <c r="I51" t="s">
        <v>203</v>
      </c>
      <c r="J51" t="s">
        <v>681</v>
      </c>
      <c r="K51" t="s">
        <v>335</v>
      </c>
      <c r="M51" t="s">
        <v>510</v>
      </c>
      <c r="N51" t="s">
        <v>567</v>
      </c>
      <c r="O51" t="str">
        <f t="shared" si="2"/>
        <v>S</v>
      </c>
      <c r="P51" t="str">
        <f t="shared" si="3"/>
        <v>25/03/2025</v>
      </c>
      <c r="Q51">
        <v>1</v>
      </c>
    </row>
    <row r="52" spans="1:17" ht="16.5" x14ac:dyDescent="0.25">
      <c r="A52">
        <v>51</v>
      </c>
      <c r="B52" t="s">
        <v>0</v>
      </c>
      <c r="C52" s="4">
        <v>45712</v>
      </c>
      <c r="D52" s="2">
        <v>45743</v>
      </c>
      <c r="E52" s="2">
        <v>45743</v>
      </c>
      <c r="F52" t="s">
        <v>23</v>
      </c>
      <c r="G52" t="s">
        <v>100</v>
      </c>
      <c r="H52" t="s">
        <v>591</v>
      </c>
      <c r="I52" t="s">
        <v>222</v>
      </c>
      <c r="J52" t="s">
        <v>695</v>
      </c>
      <c r="K52" t="s">
        <v>336</v>
      </c>
      <c r="M52" t="s">
        <v>511</v>
      </c>
      <c r="N52" t="s">
        <v>565</v>
      </c>
      <c r="O52" t="str">
        <f t="shared" si="2"/>
        <v>S</v>
      </c>
      <c r="P52" t="str">
        <f t="shared" si="3"/>
        <v/>
      </c>
      <c r="Q52">
        <v>1</v>
      </c>
    </row>
    <row r="53" spans="1:17" ht="16.5" x14ac:dyDescent="0.25">
      <c r="A53">
        <v>52</v>
      </c>
      <c r="B53" t="s">
        <v>0</v>
      </c>
      <c r="C53" s="4">
        <v>45712</v>
      </c>
      <c r="D53" s="2">
        <v>45743</v>
      </c>
      <c r="E53" s="2">
        <v>45743</v>
      </c>
      <c r="F53" t="s">
        <v>23</v>
      </c>
      <c r="G53" t="s">
        <v>100</v>
      </c>
      <c r="H53" t="s">
        <v>591</v>
      </c>
      <c r="I53" t="s">
        <v>203</v>
      </c>
      <c r="J53" t="s">
        <v>695</v>
      </c>
      <c r="K53" t="s">
        <v>336</v>
      </c>
      <c r="M53" t="s">
        <v>512</v>
      </c>
      <c r="N53" t="s">
        <v>565</v>
      </c>
      <c r="O53" t="str">
        <f t="shared" si="2"/>
        <v>S</v>
      </c>
      <c r="P53" t="str">
        <f t="shared" si="3"/>
        <v/>
      </c>
      <c r="Q53">
        <v>1</v>
      </c>
    </row>
    <row r="54" spans="1:17" ht="16.5" x14ac:dyDescent="0.25">
      <c r="A54">
        <v>53</v>
      </c>
      <c r="B54" t="s">
        <v>849</v>
      </c>
      <c r="C54" s="4">
        <v>45693</v>
      </c>
      <c r="D54" s="2">
        <v>45749</v>
      </c>
      <c r="E54" s="2">
        <v>45750</v>
      </c>
      <c r="F54" t="s">
        <v>13</v>
      </c>
      <c r="G54" t="s">
        <v>90</v>
      </c>
      <c r="H54" t="s">
        <v>583</v>
      </c>
      <c r="I54" t="s">
        <v>206</v>
      </c>
      <c r="J54" t="s">
        <v>681</v>
      </c>
      <c r="K54" t="s">
        <v>337</v>
      </c>
      <c r="M54" t="s">
        <v>513</v>
      </c>
      <c r="N54" t="s">
        <v>566</v>
      </c>
      <c r="O54" t="str">
        <f t="shared" si="2"/>
        <v>S</v>
      </c>
      <c r="P54" t="str">
        <f t="shared" si="3"/>
        <v>02/04/2025</v>
      </c>
      <c r="Q54">
        <v>1</v>
      </c>
    </row>
    <row r="55" spans="1:17" ht="16.5" x14ac:dyDescent="0.25">
      <c r="A55">
        <v>54</v>
      </c>
      <c r="B55" t="s">
        <v>849</v>
      </c>
      <c r="C55" s="4">
        <v>45693</v>
      </c>
      <c r="D55" s="2">
        <v>45749</v>
      </c>
      <c r="E55" s="2">
        <v>45750</v>
      </c>
      <c r="F55" t="s">
        <v>13</v>
      </c>
      <c r="G55" t="s">
        <v>90</v>
      </c>
      <c r="H55" t="s">
        <v>583</v>
      </c>
      <c r="I55" t="s">
        <v>203</v>
      </c>
      <c r="J55" t="s">
        <v>681</v>
      </c>
      <c r="K55" t="s">
        <v>337</v>
      </c>
      <c r="M55" t="s">
        <v>513</v>
      </c>
      <c r="N55" t="s">
        <v>566</v>
      </c>
      <c r="O55" t="str">
        <f t="shared" si="2"/>
        <v>S</v>
      </c>
      <c r="P55" t="str">
        <f t="shared" si="3"/>
        <v>02/04/2025</v>
      </c>
      <c r="Q55">
        <v>1</v>
      </c>
    </row>
    <row r="56" spans="1:17" ht="16.5" x14ac:dyDescent="0.25">
      <c r="A56">
        <v>55</v>
      </c>
      <c r="B56" t="s">
        <v>849</v>
      </c>
      <c r="C56" s="4">
        <v>45693</v>
      </c>
      <c r="D56" s="2">
        <v>45751</v>
      </c>
      <c r="E56" s="2">
        <v>45753</v>
      </c>
      <c r="F56" t="s">
        <v>13</v>
      </c>
      <c r="G56" t="s">
        <v>90</v>
      </c>
      <c r="H56" t="s">
        <v>583</v>
      </c>
      <c r="I56" t="s">
        <v>206</v>
      </c>
      <c r="J56" t="s">
        <v>681</v>
      </c>
      <c r="K56" t="s">
        <v>338</v>
      </c>
      <c r="M56" t="s">
        <v>513</v>
      </c>
      <c r="N56" t="s">
        <v>564</v>
      </c>
      <c r="O56" t="str">
        <f t="shared" si="2"/>
        <v>S</v>
      </c>
      <c r="P56" t="str">
        <f t="shared" si="3"/>
        <v>02/04/2025</v>
      </c>
      <c r="Q56">
        <v>1</v>
      </c>
    </row>
    <row r="57" spans="1:17" ht="16.5" x14ac:dyDescent="0.25">
      <c r="A57">
        <v>56</v>
      </c>
      <c r="B57" t="s">
        <v>849</v>
      </c>
      <c r="C57" s="4">
        <v>45693</v>
      </c>
      <c r="D57" s="2">
        <v>45751</v>
      </c>
      <c r="E57" s="2">
        <v>45753</v>
      </c>
      <c r="F57" t="s">
        <v>13</v>
      </c>
      <c r="G57" t="s">
        <v>90</v>
      </c>
      <c r="H57" t="s">
        <v>583</v>
      </c>
      <c r="I57" t="s">
        <v>203</v>
      </c>
      <c r="J57" t="s">
        <v>681</v>
      </c>
      <c r="K57" t="s">
        <v>338</v>
      </c>
      <c r="M57" t="s">
        <v>513</v>
      </c>
      <c r="N57" t="s">
        <v>564</v>
      </c>
      <c r="O57" t="str">
        <f t="shared" si="2"/>
        <v>S</v>
      </c>
      <c r="P57" t="str">
        <f t="shared" si="3"/>
        <v>02/04/2025</v>
      </c>
      <c r="Q57">
        <v>1</v>
      </c>
    </row>
    <row r="58" spans="1:17" ht="16.5" x14ac:dyDescent="0.25">
      <c r="A58">
        <v>57</v>
      </c>
      <c r="B58" t="s">
        <v>849</v>
      </c>
      <c r="C58" s="4">
        <v>45728</v>
      </c>
      <c r="D58" s="2">
        <v>45754</v>
      </c>
      <c r="E58" s="2">
        <v>45754</v>
      </c>
      <c r="F58" t="s">
        <v>22</v>
      </c>
      <c r="G58" t="s">
        <v>105</v>
      </c>
      <c r="H58" t="s">
        <v>596</v>
      </c>
      <c r="I58" t="s">
        <v>221</v>
      </c>
      <c r="J58" t="s">
        <v>694</v>
      </c>
      <c r="K58" t="s">
        <v>339</v>
      </c>
      <c r="M58" t="s">
        <v>513</v>
      </c>
      <c r="N58" t="s">
        <v>567</v>
      </c>
      <c r="O58" t="str">
        <f t="shared" si="2"/>
        <v>S</v>
      </c>
      <c r="P58" t="str">
        <f t="shared" si="3"/>
        <v>02/04/2025</v>
      </c>
      <c r="Q58">
        <v>1</v>
      </c>
    </row>
    <row r="59" spans="1:17" ht="16.5" x14ac:dyDescent="0.25">
      <c r="A59">
        <v>58</v>
      </c>
      <c r="B59" t="s">
        <v>849</v>
      </c>
      <c r="C59" s="4">
        <v>45728</v>
      </c>
      <c r="D59" s="2">
        <v>45754</v>
      </c>
      <c r="E59" s="2">
        <v>45754</v>
      </c>
      <c r="F59" t="s">
        <v>22</v>
      </c>
      <c r="G59" t="s">
        <v>105</v>
      </c>
      <c r="H59" t="s">
        <v>596</v>
      </c>
      <c r="I59" t="s">
        <v>203</v>
      </c>
      <c r="J59" t="s">
        <v>694</v>
      </c>
      <c r="K59" t="s">
        <v>339</v>
      </c>
      <c r="M59" t="s">
        <v>513</v>
      </c>
      <c r="N59" t="s">
        <v>567</v>
      </c>
      <c r="O59" t="str">
        <f t="shared" si="2"/>
        <v>S</v>
      </c>
      <c r="P59" t="str">
        <f t="shared" si="3"/>
        <v>02/04/2025</v>
      </c>
      <c r="Q59">
        <v>1</v>
      </c>
    </row>
    <row r="60" spans="1:17" ht="16.5" x14ac:dyDescent="0.25">
      <c r="A60">
        <v>59</v>
      </c>
      <c r="B60" t="s">
        <v>0</v>
      </c>
      <c r="C60" s="4"/>
      <c r="D60" s="2">
        <v>45754</v>
      </c>
      <c r="E60" s="2">
        <v>45754</v>
      </c>
      <c r="F60" t="s">
        <v>22</v>
      </c>
      <c r="H60" t="s">
        <v>596</v>
      </c>
      <c r="J60" t="s">
        <v>694</v>
      </c>
      <c r="K60" t="s">
        <v>340</v>
      </c>
      <c r="M60" t="s">
        <v>514</v>
      </c>
      <c r="N60" t="s">
        <v>565</v>
      </c>
      <c r="O60" t="str">
        <f t="shared" si="2"/>
        <v>S</v>
      </c>
      <c r="P60" t="str">
        <f t="shared" si="3"/>
        <v/>
      </c>
      <c r="Q60">
        <v>1</v>
      </c>
    </row>
    <row r="61" spans="1:17" ht="16.5" x14ac:dyDescent="0.25">
      <c r="A61">
        <v>60</v>
      </c>
      <c r="B61" t="s">
        <v>0</v>
      </c>
      <c r="C61" s="4"/>
      <c r="D61" s="2">
        <v>45754</v>
      </c>
      <c r="E61" s="2">
        <v>45754</v>
      </c>
      <c r="F61" t="s">
        <v>22</v>
      </c>
      <c r="H61" t="s">
        <v>596</v>
      </c>
      <c r="J61" t="s">
        <v>694</v>
      </c>
      <c r="K61" t="s">
        <v>340</v>
      </c>
      <c r="M61" t="s">
        <v>514</v>
      </c>
      <c r="N61" t="s">
        <v>565</v>
      </c>
      <c r="O61" t="str">
        <f t="shared" si="2"/>
        <v>S</v>
      </c>
      <c r="P61" t="str">
        <f t="shared" si="3"/>
        <v/>
      </c>
      <c r="Q61">
        <v>1</v>
      </c>
    </row>
    <row r="62" spans="1:17" ht="16.5" x14ac:dyDescent="0.25">
      <c r="A62">
        <v>61</v>
      </c>
      <c r="B62" t="s">
        <v>849</v>
      </c>
      <c r="C62" s="4">
        <v>45692</v>
      </c>
      <c r="D62" s="2">
        <v>45755</v>
      </c>
      <c r="E62" s="2">
        <v>45755</v>
      </c>
      <c r="F62" t="s">
        <v>11</v>
      </c>
      <c r="G62" t="s">
        <v>106</v>
      </c>
      <c r="H62" t="s">
        <v>597</v>
      </c>
      <c r="I62" t="s">
        <v>223</v>
      </c>
      <c r="J62" t="s">
        <v>696</v>
      </c>
      <c r="K62" t="s">
        <v>341</v>
      </c>
      <c r="M62" t="s">
        <v>515</v>
      </c>
      <c r="N62" t="s">
        <v>568</v>
      </c>
      <c r="O62" t="str">
        <f t="shared" si="2"/>
        <v>S</v>
      </c>
      <c r="P62" t="str">
        <f t="shared" si="3"/>
        <v>08/04/2025</v>
      </c>
      <c r="Q62">
        <v>1</v>
      </c>
    </row>
    <row r="63" spans="1:17" ht="16.5" x14ac:dyDescent="0.25">
      <c r="A63">
        <v>62</v>
      </c>
      <c r="B63" t="s">
        <v>849</v>
      </c>
      <c r="C63" s="4">
        <v>45692</v>
      </c>
      <c r="D63" s="2">
        <v>45755</v>
      </c>
      <c r="E63" s="2">
        <v>45755</v>
      </c>
      <c r="F63" t="s">
        <v>11</v>
      </c>
      <c r="G63" t="s">
        <v>106</v>
      </c>
      <c r="H63" t="s">
        <v>597</v>
      </c>
      <c r="I63" t="s">
        <v>203</v>
      </c>
      <c r="J63" t="s">
        <v>696</v>
      </c>
      <c r="K63" t="s">
        <v>341</v>
      </c>
      <c r="M63" t="s">
        <v>515</v>
      </c>
      <c r="N63" t="s">
        <v>568</v>
      </c>
      <c r="O63" t="str">
        <f t="shared" si="2"/>
        <v>S</v>
      </c>
      <c r="P63" t="str">
        <f t="shared" si="3"/>
        <v>08/04/2025</v>
      </c>
      <c r="Q63">
        <v>1</v>
      </c>
    </row>
    <row r="64" spans="1:17" ht="16.5" x14ac:dyDescent="0.25">
      <c r="A64">
        <v>63</v>
      </c>
      <c r="B64" t="s">
        <v>849</v>
      </c>
      <c r="C64" s="4">
        <v>45713</v>
      </c>
      <c r="D64" s="2">
        <v>45756</v>
      </c>
      <c r="E64" s="2">
        <v>45758</v>
      </c>
      <c r="F64" t="s">
        <v>24</v>
      </c>
      <c r="G64" t="s">
        <v>107</v>
      </c>
      <c r="H64" t="s">
        <v>598</v>
      </c>
      <c r="I64" t="s">
        <v>224</v>
      </c>
      <c r="J64" t="s">
        <v>697</v>
      </c>
      <c r="K64" t="s">
        <v>342</v>
      </c>
      <c r="M64" t="s">
        <v>516</v>
      </c>
      <c r="N64" t="s">
        <v>572</v>
      </c>
      <c r="O64" t="str">
        <f t="shared" si="2"/>
        <v>S</v>
      </c>
      <c r="P64" t="str">
        <f t="shared" si="3"/>
        <v>09/04/2025</v>
      </c>
      <c r="Q64">
        <v>1</v>
      </c>
    </row>
    <row r="65" spans="1:17" ht="16.5" x14ac:dyDescent="0.25">
      <c r="A65">
        <v>64</v>
      </c>
      <c r="B65" t="s">
        <v>849</v>
      </c>
      <c r="C65" s="4">
        <v>45713</v>
      </c>
      <c r="D65" s="2">
        <v>45756</v>
      </c>
      <c r="E65" s="2">
        <v>45758</v>
      </c>
      <c r="F65" t="s">
        <v>24</v>
      </c>
      <c r="G65" t="s">
        <v>107</v>
      </c>
      <c r="H65" t="s">
        <v>598</v>
      </c>
      <c r="I65" t="s">
        <v>203</v>
      </c>
      <c r="J65" t="s">
        <v>697</v>
      </c>
      <c r="K65" t="s">
        <v>342</v>
      </c>
      <c r="M65" t="s">
        <v>516</v>
      </c>
      <c r="N65" t="s">
        <v>572</v>
      </c>
      <c r="O65" t="str">
        <f t="shared" si="2"/>
        <v>S</v>
      </c>
      <c r="P65" t="str">
        <f t="shared" si="3"/>
        <v>09/04/2025</v>
      </c>
      <c r="Q65">
        <v>1</v>
      </c>
    </row>
    <row r="66" spans="1:17" ht="16.5" x14ac:dyDescent="0.25">
      <c r="A66">
        <v>65</v>
      </c>
      <c r="B66" t="s">
        <v>849</v>
      </c>
      <c r="C66" s="4">
        <v>45754</v>
      </c>
      <c r="D66" s="2">
        <v>45757</v>
      </c>
      <c r="E66" s="2">
        <v>45757</v>
      </c>
      <c r="F66" t="s">
        <v>25</v>
      </c>
      <c r="G66" t="s">
        <v>108</v>
      </c>
      <c r="H66" t="s">
        <v>598</v>
      </c>
      <c r="I66" t="s">
        <v>224</v>
      </c>
      <c r="J66" t="s">
        <v>697</v>
      </c>
      <c r="K66" t="s">
        <v>343</v>
      </c>
      <c r="M66" t="s">
        <v>517</v>
      </c>
      <c r="N66" t="s">
        <v>568</v>
      </c>
      <c r="O66" t="str">
        <f t="shared" ref="O66:O97" si="4">IF(OR(ISNUMBER(FIND("ENTREGUES",M66)),N66="Preto",N66="Cinza"),"S","N")</f>
        <v>S</v>
      </c>
      <c r="P66" t="str">
        <f t="shared" si="3"/>
        <v>09/04/2025</v>
      </c>
      <c r="Q66">
        <v>1</v>
      </c>
    </row>
    <row r="67" spans="1:17" ht="16.5" x14ac:dyDescent="0.25">
      <c r="A67">
        <v>66</v>
      </c>
      <c r="B67" t="s">
        <v>849</v>
      </c>
      <c r="C67" s="4">
        <v>45754</v>
      </c>
      <c r="D67" s="2">
        <v>45757</v>
      </c>
      <c r="E67" s="2">
        <v>45757</v>
      </c>
      <c r="F67" t="s">
        <v>25</v>
      </c>
      <c r="G67" t="s">
        <v>108</v>
      </c>
      <c r="H67" t="s">
        <v>598</v>
      </c>
      <c r="I67" t="s">
        <v>203</v>
      </c>
      <c r="J67" t="s">
        <v>697</v>
      </c>
      <c r="K67" t="s">
        <v>343</v>
      </c>
      <c r="M67" t="s">
        <v>517</v>
      </c>
      <c r="N67" t="s">
        <v>568</v>
      </c>
      <c r="O67" t="str">
        <f t="shared" si="4"/>
        <v>S</v>
      </c>
      <c r="P67" t="str">
        <f t="shared" si="3"/>
        <v>09/04/2025</v>
      </c>
      <c r="Q67">
        <v>1</v>
      </c>
    </row>
    <row r="68" spans="1:17" ht="16.5" x14ac:dyDescent="0.25">
      <c r="A68">
        <v>67</v>
      </c>
      <c r="B68" t="s">
        <v>849</v>
      </c>
      <c r="C68" s="4">
        <v>45728</v>
      </c>
      <c r="D68" s="2">
        <v>45759</v>
      </c>
      <c r="E68" s="2">
        <v>45760</v>
      </c>
      <c r="F68" t="s">
        <v>18</v>
      </c>
      <c r="G68" t="s">
        <v>109</v>
      </c>
      <c r="H68" t="s">
        <v>599</v>
      </c>
      <c r="I68" t="s">
        <v>225</v>
      </c>
      <c r="J68" t="s">
        <v>698</v>
      </c>
      <c r="K68" t="s">
        <v>344</v>
      </c>
      <c r="M68" t="s">
        <v>518</v>
      </c>
      <c r="N68" t="s">
        <v>567</v>
      </c>
      <c r="O68" t="str">
        <f t="shared" si="4"/>
        <v>S</v>
      </c>
      <c r="P68" t="str">
        <f t="shared" si="3"/>
        <v>11/04/2025</v>
      </c>
      <c r="Q68">
        <v>1</v>
      </c>
    </row>
    <row r="69" spans="1:17" ht="16.5" x14ac:dyDescent="0.25">
      <c r="A69">
        <v>68</v>
      </c>
      <c r="B69" t="s">
        <v>849</v>
      </c>
      <c r="C69" s="4">
        <v>45728</v>
      </c>
      <c r="D69" s="2">
        <v>45759</v>
      </c>
      <c r="E69" s="2">
        <v>45760</v>
      </c>
      <c r="F69" t="s">
        <v>18</v>
      </c>
      <c r="G69" t="s">
        <v>109</v>
      </c>
      <c r="H69" t="s">
        <v>599</v>
      </c>
      <c r="I69" t="s">
        <v>203</v>
      </c>
      <c r="J69" t="s">
        <v>698</v>
      </c>
      <c r="K69" t="s">
        <v>344</v>
      </c>
      <c r="M69" t="s">
        <v>518</v>
      </c>
      <c r="N69" t="s">
        <v>567</v>
      </c>
      <c r="O69" t="str">
        <f t="shared" si="4"/>
        <v>S</v>
      </c>
      <c r="P69" t="str">
        <f t="shared" si="3"/>
        <v>11/04/2025</v>
      </c>
      <c r="Q69">
        <v>1</v>
      </c>
    </row>
    <row r="70" spans="1:17" ht="16.5" x14ac:dyDescent="0.25">
      <c r="A70">
        <v>69</v>
      </c>
      <c r="B70" t="s">
        <v>849</v>
      </c>
      <c r="C70" s="4">
        <v>45733</v>
      </c>
      <c r="D70" s="2">
        <v>45759</v>
      </c>
      <c r="E70" s="2">
        <v>45760</v>
      </c>
      <c r="F70" t="s">
        <v>11</v>
      </c>
      <c r="G70" t="s">
        <v>110</v>
      </c>
      <c r="H70" t="s">
        <v>600</v>
      </c>
      <c r="I70" t="s">
        <v>226</v>
      </c>
      <c r="J70" t="s">
        <v>699</v>
      </c>
      <c r="K70" t="s">
        <v>345</v>
      </c>
      <c r="M70" t="s">
        <v>518</v>
      </c>
      <c r="N70" t="s">
        <v>567</v>
      </c>
      <c r="O70" t="str">
        <f t="shared" si="4"/>
        <v>S</v>
      </c>
      <c r="P70" t="str">
        <f t="shared" si="3"/>
        <v>11/04/2025</v>
      </c>
      <c r="Q70">
        <v>1</v>
      </c>
    </row>
    <row r="71" spans="1:17" ht="16.5" x14ac:dyDescent="0.25">
      <c r="A71">
        <v>70</v>
      </c>
      <c r="B71" t="s">
        <v>849</v>
      </c>
      <c r="C71" s="4">
        <v>45733</v>
      </c>
      <c r="D71" s="2">
        <v>45759</v>
      </c>
      <c r="E71" s="2">
        <v>45760</v>
      </c>
      <c r="F71" t="s">
        <v>11</v>
      </c>
      <c r="G71" t="s">
        <v>110</v>
      </c>
      <c r="H71" t="s">
        <v>600</v>
      </c>
      <c r="I71" t="s">
        <v>203</v>
      </c>
      <c r="J71" t="s">
        <v>699</v>
      </c>
      <c r="K71" t="s">
        <v>345</v>
      </c>
      <c r="M71" t="s">
        <v>518</v>
      </c>
      <c r="N71" t="s">
        <v>567</v>
      </c>
      <c r="O71" t="str">
        <f t="shared" si="4"/>
        <v>S</v>
      </c>
      <c r="P71" t="str">
        <f t="shared" si="3"/>
        <v>11/04/2025</v>
      </c>
      <c r="Q71">
        <v>1</v>
      </c>
    </row>
    <row r="72" spans="1:17" ht="16.5" x14ac:dyDescent="0.25">
      <c r="A72">
        <v>71</v>
      </c>
      <c r="B72" t="s">
        <v>849</v>
      </c>
      <c r="C72" s="4">
        <v>45680</v>
      </c>
      <c r="D72" s="2">
        <v>45763</v>
      </c>
      <c r="E72" s="2">
        <v>45764</v>
      </c>
      <c r="F72" t="s">
        <v>26</v>
      </c>
      <c r="G72" t="s">
        <v>111</v>
      </c>
      <c r="H72" t="s">
        <v>601</v>
      </c>
      <c r="I72" t="s">
        <v>227</v>
      </c>
      <c r="J72" t="s">
        <v>700</v>
      </c>
      <c r="K72" t="s">
        <v>346</v>
      </c>
      <c r="M72" t="s">
        <v>519</v>
      </c>
      <c r="N72" t="s">
        <v>570</v>
      </c>
      <c r="O72" t="str">
        <f t="shared" si="4"/>
        <v>S</v>
      </c>
      <c r="P72" t="str">
        <f t="shared" si="3"/>
        <v>15/04/2025</v>
      </c>
      <c r="Q72">
        <v>1</v>
      </c>
    </row>
    <row r="73" spans="1:17" ht="16.5" x14ac:dyDescent="0.25">
      <c r="A73">
        <v>72</v>
      </c>
      <c r="B73" t="s">
        <v>849</v>
      </c>
      <c r="C73" s="4">
        <v>45680</v>
      </c>
      <c r="D73" s="2">
        <v>45763</v>
      </c>
      <c r="E73" s="2">
        <v>45764</v>
      </c>
      <c r="F73" t="s">
        <v>26</v>
      </c>
      <c r="G73" t="s">
        <v>111</v>
      </c>
      <c r="H73" t="s">
        <v>601</v>
      </c>
      <c r="I73" t="s">
        <v>203</v>
      </c>
      <c r="J73" t="s">
        <v>700</v>
      </c>
      <c r="K73" t="s">
        <v>346</v>
      </c>
      <c r="M73" t="s">
        <v>519</v>
      </c>
      <c r="N73" t="s">
        <v>570</v>
      </c>
      <c r="O73" t="str">
        <f t="shared" si="4"/>
        <v>S</v>
      </c>
      <c r="P73" t="str">
        <f t="shared" si="3"/>
        <v>15/04/2025</v>
      </c>
      <c r="Q73">
        <v>1</v>
      </c>
    </row>
    <row r="74" spans="1:17" ht="16.5" x14ac:dyDescent="0.25">
      <c r="A74">
        <v>73</v>
      </c>
      <c r="B74" t="s">
        <v>849</v>
      </c>
      <c r="C74" s="4">
        <v>45706</v>
      </c>
      <c r="D74" s="2">
        <v>45769</v>
      </c>
      <c r="E74" s="2">
        <v>45769</v>
      </c>
      <c r="F74" t="s">
        <v>27</v>
      </c>
      <c r="G74" t="s">
        <v>112</v>
      </c>
      <c r="H74" t="s">
        <v>602</v>
      </c>
      <c r="I74" t="s">
        <v>228</v>
      </c>
      <c r="J74" t="s">
        <v>701</v>
      </c>
      <c r="K74" t="s">
        <v>347</v>
      </c>
      <c r="M74" t="s">
        <v>519</v>
      </c>
      <c r="N74" t="s">
        <v>573</v>
      </c>
      <c r="O74" t="str">
        <f t="shared" si="4"/>
        <v>S</v>
      </c>
      <c r="P74" t="str">
        <f t="shared" si="3"/>
        <v>15/04/2025</v>
      </c>
      <c r="Q74">
        <v>1</v>
      </c>
    </row>
    <row r="75" spans="1:17" ht="16.5" x14ac:dyDescent="0.25">
      <c r="A75">
        <v>74</v>
      </c>
      <c r="B75" t="s">
        <v>849</v>
      </c>
      <c r="C75" s="4">
        <v>45706</v>
      </c>
      <c r="D75" s="2">
        <v>45769</v>
      </c>
      <c r="E75" s="2">
        <v>45769</v>
      </c>
      <c r="F75" t="s">
        <v>27</v>
      </c>
      <c r="G75" t="s">
        <v>112</v>
      </c>
      <c r="H75" t="s">
        <v>602</v>
      </c>
      <c r="I75" t="s">
        <v>203</v>
      </c>
      <c r="J75" t="s">
        <v>701</v>
      </c>
      <c r="K75" t="s">
        <v>347</v>
      </c>
      <c r="M75" t="s">
        <v>519</v>
      </c>
      <c r="N75" t="s">
        <v>573</v>
      </c>
      <c r="O75" t="str">
        <f t="shared" si="4"/>
        <v>S</v>
      </c>
      <c r="P75" t="str">
        <f t="shared" si="3"/>
        <v>15/04/2025</v>
      </c>
      <c r="Q75">
        <v>1</v>
      </c>
    </row>
    <row r="76" spans="1:17" ht="16.5" x14ac:dyDescent="0.25">
      <c r="A76">
        <v>75</v>
      </c>
      <c r="B76" t="s">
        <v>0</v>
      </c>
      <c r="C76" s="4">
        <v>45705</v>
      </c>
      <c r="D76" s="2">
        <v>45770</v>
      </c>
      <c r="E76" s="2">
        <v>45770</v>
      </c>
      <c r="F76" t="s">
        <v>28</v>
      </c>
      <c r="G76" t="s">
        <v>113</v>
      </c>
      <c r="H76" t="s">
        <v>603</v>
      </c>
      <c r="I76" t="s">
        <v>229</v>
      </c>
      <c r="J76" t="s">
        <v>702</v>
      </c>
      <c r="K76" t="s">
        <v>348</v>
      </c>
      <c r="M76" t="s">
        <v>577</v>
      </c>
      <c r="N76" t="s">
        <v>565</v>
      </c>
      <c r="O76" t="str">
        <f t="shared" si="4"/>
        <v>S</v>
      </c>
      <c r="P76" t="str">
        <f t="shared" si="3"/>
        <v/>
      </c>
      <c r="Q76">
        <v>1</v>
      </c>
    </row>
    <row r="77" spans="1:17" ht="16.5" x14ac:dyDescent="0.25">
      <c r="A77">
        <v>76</v>
      </c>
      <c r="B77" t="s">
        <v>0</v>
      </c>
      <c r="C77" s="4">
        <v>45705</v>
      </c>
      <c r="D77" s="2">
        <v>45770</v>
      </c>
      <c r="E77" s="2">
        <v>45770</v>
      </c>
      <c r="F77" t="s">
        <v>28</v>
      </c>
      <c r="G77" t="s">
        <v>114</v>
      </c>
      <c r="H77" t="s">
        <v>604</v>
      </c>
      <c r="I77" t="s">
        <v>203</v>
      </c>
      <c r="J77" t="s">
        <v>702</v>
      </c>
      <c r="K77" t="s">
        <v>348</v>
      </c>
      <c r="M77" t="s">
        <v>577</v>
      </c>
      <c r="N77" t="s">
        <v>565</v>
      </c>
      <c r="O77" t="str">
        <f t="shared" si="4"/>
        <v>S</v>
      </c>
      <c r="P77" t="str">
        <f t="shared" ref="P77:P108" si="5">IF(N77="Preto", "", MID(M77, FIND("em ", M77) + 3, 10))</f>
        <v/>
      </c>
      <c r="Q77">
        <v>1</v>
      </c>
    </row>
    <row r="78" spans="1:17" ht="16.5" x14ac:dyDescent="0.25">
      <c r="A78">
        <v>77</v>
      </c>
      <c r="B78" t="s">
        <v>0</v>
      </c>
      <c r="C78" s="4">
        <v>45757</v>
      </c>
      <c r="D78" s="2">
        <v>45775</v>
      </c>
      <c r="E78" s="2">
        <v>45775</v>
      </c>
      <c r="F78" t="s">
        <v>29</v>
      </c>
      <c r="G78" t="s">
        <v>115</v>
      </c>
      <c r="H78" t="s">
        <v>605</v>
      </c>
      <c r="I78" t="s">
        <v>230</v>
      </c>
      <c r="J78" t="s">
        <v>703</v>
      </c>
      <c r="K78" t="s">
        <v>349</v>
      </c>
      <c r="M78" t="s">
        <v>520</v>
      </c>
      <c r="N78" t="s">
        <v>565</v>
      </c>
      <c r="O78" t="str">
        <f t="shared" si="4"/>
        <v>S</v>
      </c>
      <c r="P78" t="str">
        <f t="shared" si="5"/>
        <v/>
      </c>
      <c r="Q78">
        <v>1</v>
      </c>
    </row>
    <row r="79" spans="1:17" ht="16.5" x14ac:dyDescent="0.25">
      <c r="A79">
        <v>78</v>
      </c>
      <c r="B79" t="s">
        <v>0</v>
      </c>
      <c r="C79" s="4">
        <v>45757</v>
      </c>
      <c r="D79" s="2">
        <v>45775</v>
      </c>
      <c r="E79" s="2">
        <v>45775</v>
      </c>
      <c r="F79" t="s">
        <v>29</v>
      </c>
      <c r="G79" t="s">
        <v>115</v>
      </c>
      <c r="H79" t="s">
        <v>605</v>
      </c>
      <c r="I79" t="s">
        <v>203</v>
      </c>
      <c r="J79" t="s">
        <v>703</v>
      </c>
      <c r="K79" t="s">
        <v>349</v>
      </c>
      <c r="M79" t="s">
        <v>521</v>
      </c>
      <c r="N79" t="s">
        <v>565</v>
      </c>
      <c r="O79" t="str">
        <f t="shared" si="4"/>
        <v>S</v>
      </c>
      <c r="P79" t="str">
        <f t="shared" si="5"/>
        <v/>
      </c>
      <c r="Q79">
        <v>1</v>
      </c>
    </row>
    <row r="80" spans="1:17" ht="16.5" x14ac:dyDescent="0.25">
      <c r="A80">
        <v>79</v>
      </c>
      <c r="B80" t="s">
        <v>849</v>
      </c>
      <c r="C80" s="4">
        <v>45729</v>
      </c>
      <c r="D80" s="2">
        <v>45775</v>
      </c>
      <c r="E80" s="2">
        <v>45776</v>
      </c>
      <c r="F80" t="s">
        <v>30</v>
      </c>
      <c r="G80" t="s">
        <v>116</v>
      </c>
      <c r="H80" t="s">
        <v>606</v>
      </c>
      <c r="I80" t="s">
        <v>231</v>
      </c>
      <c r="J80" t="s">
        <v>704</v>
      </c>
      <c r="K80" t="s">
        <v>350</v>
      </c>
      <c r="M80" t="s">
        <v>522</v>
      </c>
      <c r="N80" t="s">
        <v>567</v>
      </c>
      <c r="O80" t="str">
        <f t="shared" si="4"/>
        <v>S</v>
      </c>
      <c r="P80" t="str">
        <f t="shared" si="5"/>
        <v>28/04/2025</v>
      </c>
      <c r="Q80">
        <v>1</v>
      </c>
    </row>
    <row r="81" spans="1:17" ht="16.5" x14ac:dyDescent="0.25">
      <c r="A81">
        <v>80</v>
      </c>
      <c r="B81" t="s">
        <v>849</v>
      </c>
      <c r="C81" s="4">
        <v>45729</v>
      </c>
      <c r="D81" s="2">
        <v>45775</v>
      </c>
      <c r="E81" s="2">
        <v>45776</v>
      </c>
      <c r="F81" t="s">
        <v>30</v>
      </c>
      <c r="G81" t="s">
        <v>116</v>
      </c>
      <c r="H81" t="s">
        <v>606</v>
      </c>
      <c r="I81" t="s">
        <v>208</v>
      </c>
      <c r="J81" t="s">
        <v>704</v>
      </c>
      <c r="K81" t="s">
        <v>350</v>
      </c>
      <c r="M81" t="s">
        <v>522</v>
      </c>
      <c r="N81" t="s">
        <v>567</v>
      </c>
      <c r="O81" t="str">
        <f t="shared" si="4"/>
        <v>S</v>
      </c>
      <c r="P81" t="str">
        <f t="shared" si="5"/>
        <v>28/04/2025</v>
      </c>
      <c r="Q81">
        <v>1</v>
      </c>
    </row>
    <row r="82" spans="1:17" ht="16.5" x14ac:dyDescent="0.25">
      <c r="A82">
        <v>81</v>
      </c>
      <c r="B82" t="s">
        <v>849</v>
      </c>
      <c r="C82" s="4">
        <v>45734</v>
      </c>
      <c r="D82" s="2">
        <v>45775</v>
      </c>
      <c r="E82" s="2">
        <v>45776</v>
      </c>
      <c r="F82" t="s">
        <v>31</v>
      </c>
      <c r="G82" t="s">
        <v>117</v>
      </c>
      <c r="H82" t="s">
        <v>607</v>
      </c>
      <c r="I82" t="s">
        <v>232</v>
      </c>
      <c r="J82" t="s">
        <v>705</v>
      </c>
      <c r="K82" t="s">
        <v>351</v>
      </c>
      <c r="M82" t="s">
        <v>522</v>
      </c>
      <c r="N82" t="s">
        <v>567</v>
      </c>
      <c r="O82" t="str">
        <f t="shared" si="4"/>
        <v>S</v>
      </c>
      <c r="P82" t="str">
        <f t="shared" si="5"/>
        <v>28/04/2025</v>
      </c>
      <c r="Q82">
        <v>1</v>
      </c>
    </row>
    <row r="83" spans="1:17" ht="16.5" x14ac:dyDescent="0.25">
      <c r="A83">
        <v>82</v>
      </c>
      <c r="B83" t="s">
        <v>849</v>
      </c>
      <c r="C83" s="4">
        <v>45734</v>
      </c>
      <c r="D83" s="2">
        <v>45775</v>
      </c>
      <c r="E83" s="2">
        <v>45776</v>
      </c>
      <c r="F83" t="s">
        <v>31</v>
      </c>
      <c r="G83" t="s">
        <v>117</v>
      </c>
      <c r="H83" t="s">
        <v>607</v>
      </c>
      <c r="I83" t="s">
        <v>203</v>
      </c>
      <c r="J83" t="s">
        <v>705</v>
      </c>
      <c r="K83" t="s">
        <v>351</v>
      </c>
      <c r="M83" t="s">
        <v>522</v>
      </c>
      <c r="N83" t="s">
        <v>567</v>
      </c>
      <c r="O83" t="str">
        <f t="shared" si="4"/>
        <v>S</v>
      </c>
      <c r="P83" t="str">
        <f t="shared" si="5"/>
        <v>28/04/2025</v>
      </c>
      <c r="Q83">
        <v>1</v>
      </c>
    </row>
    <row r="84" spans="1:17" ht="16.5" x14ac:dyDescent="0.25">
      <c r="A84">
        <v>83</v>
      </c>
      <c r="B84" t="s">
        <v>849</v>
      </c>
      <c r="C84" s="4">
        <v>45728</v>
      </c>
      <c r="D84" s="2">
        <v>45779</v>
      </c>
      <c r="E84" s="2">
        <v>45782</v>
      </c>
      <c r="F84" t="s">
        <v>22</v>
      </c>
      <c r="G84" t="s">
        <v>105</v>
      </c>
      <c r="H84" t="s">
        <v>596</v>
      </c>
      <c r="I84" t="s">
        <v>221</v>
      </c>
      <c r="J84" t="s">
        <v>694</v>
      </c>
      <c r="K84" t="s">
        <v>352</v>
      </c>
      <c r="M84" t="s">
        <v>522</v>
      </c>
      <c r="N84" t="s">
        <v>568</v>
      </c>
      <c r="O84" t="str">
        <f t="shared" si="4"/>
        <v>S</v>
      </c>
      <c r="P84" t="str">
        <f t="shared" si="5"/>
        <v>28/04/2025</v>
      </c>
      <c r="Q84">
        <v>1</v>
      </c>
    </row>
    <row r="85" spans="1:17" ht="16.5" x14ac:dyDescent="0.25">
      <c r="A85">
        <v>84</v>
      </c>
      <c r="B85" t="s">
        <v>849</v>
      </c>
      <c r="C85" s="4">
        <v>45728</v>
      </c>
      <c r="D85" s="2">
        <v>45779</v>
      </c>
      <c r="E85" s="2">
        <v>45782</v>
      </c>
      <c r="F85" t="s">
        <v>22</v>
      </c>
      <c r="G85" t="s">
        <v>105</v>
      </c>
      <c r="H85" t="s">
        <v>596</v>
      </c>
      <c r="I85" t="s">
        <v>203</v>
      </c>
      <c r="J85" t="s">
        <v>694</v>
      </c>
      <c r="K85" t="s">
        <v>352</v>
      </c>
      <c r="M85" t="s">
        <v>522</v>
      </c>
      <c r="N85" t="s">
        <v>568</v>
      </c>
      <c r="O85" t="str">
        <f t="shared" si="4"/>
        <v>S</v>
      </c>
      <c r="P85" t="str">
        <f t="shared" si="5"/>
        <v>28/04/2025</v>
      </c>
      <c r="Q85">
        <v>1</v>
      </c>
    </row>
    <row r="86" spans="1:17" ht="16.5" x14ac:dyDescent="0.25">
      <c r="A86">
        <v>85</v>
      </c>
      <c r="B86" t="s">
        <v>849</v>
      </c>
      <c r="C86" s="4">
        <v>45692</v>
      </c>
      <c r="D86" s="2">
        <v>45783</v>
      </c>
      <c r="E86" s="2">
        <v>45783</v>
      </c>
      <c r="F86" t="s">
        <v>11</v>
      </c>
      <c r="G86" t="s">
        <v>106</v>
      </c>
      <c r="H86" t="s">
        <v>597</v>
      </c>
      <c r="I86" t="s">
        <v>223</v>
      </c>
      <c r="J86" t="s">
        <v>696</v>
      </c>
      <c r="K86" t="s">
        <v>353</v>
      </c>
      <c r="M86" t="s">
        <v>523</v>
      </c>
      <c r="N86" t="s">
        <v>574</v>
      </c>
      <c r="O86" t="str">
        <f t="shared" si="4"/>
        <v>S</v>
      </c>
      <c r="P86" t="str">
        <f t="shared" si="5"/>
        <v>06/05/2025</v>
      </c>
      <c r="Q86">
        <v>1</v>
      </c>
    </row>
    <row r="87" spans="1:17" ht="16.5" x14ac:dyDescent="0.25">
      <c r="A87">
        <v>86</v>
      </c>
      <c r="B87" t="s">
        <v>849</v>
      </c>
      <c r="C87" s="4">
        <v>45692</v>
      </c>
      <c r="D87" s="2">
        <v>45783</v>
      </c>
      <c r="E87" s="2">
        <v>45783</v>
      </c>
      <c r="F87" t="s">
        <v>11</v>
      </c>
      <c r="G87" t="s">
        <v>106</v>
      </c>
      <c r="H87" t="s">
        <v>597</v>
      </c>
      <c r="I87" t="s">
        <v>203</v>
      </c>
      <c r="J87" t="s">
        <v>696</v>
      </c>
      <c r="K87" t="s">
        <v>353</v>
      </c>
      <c r="M87" t="s">
        <v>523</v>
      </c>
      <c r="N87" t="s">
        <v>574</v>
      </c>
      <c r="O87" t="str">
        <f t="shared" si="4"/>
        <v>S</v>
      </c>
      <c r="P87" t="str">
        <f t="shared" si="5"/>
        <v>06/05/2025</v>
      </c>
      <c r="Q87">
        <v>1</v>
      </c>
    </row>
    <row r="88" spans="1:17" ht="16.5" x14ac:dyDescent="0.25">
      <c r="A88">
        <v>87</v>
      </c>
      <c r="B88" t="s">
        <v>849</v>
      </c>
      <c r="C88" s="4">
        <v>45754</v>
      </c>
      <c r="D88" s="2">
        <v>45784</v>
      </c>
      <c r="E88" s="2">
        <v>45784</v>
      </c>
      <c r="F88" t="s">
        <v>25</v>
      </c>
      <c r="G88" t="s">
        <v>118</v>
      </c>
      <c r="H88" t="s">
        <v>608</v>
      </c>
      <c r="I88" t="s">
        <v>233</v>
      </c>
      <c r="J88" t="s">
        <v>706</v>
      </c>
      <c r="K88" t="s">
        <v>343</v>
      </c>
      <c r="M88" t="s">
        <v>524</v>
      </c>
      <c r="N88" t="s">
        <v>568</v>
      </c>
      <c r="O88" t="str">
        <f t="shared" si="4"/>
        <v>S</v>
      </c>
      <c r="P88" t="str">
        <f t="shared" si="5"/>
        <v>07/05/2025</v>
      </c>
      <c r="Q88">
        <v>1</v>
      </c>
    </row>
    <row r="89" spans="1:17" ht="16.5" x14ac:dyDescent="0.25">
      <c r="A89">
        <v>88</v>
      </c>
      <c r="B89" t="s">
        <v>849</v>
      </c>
      <c r="C89" s="4">
        <v>45754</v>
      </c>
      <c r="D89" s="2">
        <v>45784</v>
      </c>
      <c r="E89" s="2">
        <v>45784</v>
      </c>
      <c r="F89" t="s">
        <v>25</v>
      </c>
      <c r="G89" t="s">
        <v>118</v>
      </c>
      <c r="H89" t="s">
        <v>608</v>
      </c>
      <c r="I89" t="s">
        <v>203</v>
      </c>
      <c r="J89" t="s">
        <v>706</v>
      </c>
      <c r="K89" t="s">
        <v>343</v>
      </c>
      <c r="M89" t="s">
        <v>524</v>
      </c>
      <c r="N89" t="s">
        <v>568</v>
      </c>
      <c r="O89" t="str">
        <f t="shared" si="4"/>
        <v>S</v>
      </c>
      <c r="P89" t="str">
        <f t="shared" si="5"/>
        <v>07/05/2025</v>
      </c>
      <c r="Q89">
        <v>1</v>
      </c>
    </row>
    <row r="90" spans="1:17" ht="16.5" x14ac:dyDescent="0.25">
      <c r="A90">
        <v>89</v>
      </c>
      <c r="B90" t="s">
        <v>849</v>
      </c>
      <c r="C90" s="4">
        <v>45692</v>
      </c>
      <c r="D90" s="2">
        <v>45785</v>
      </c>
      <c r="E90" s="2">
        <v>45785</v>
      </c>
      <c r="F90" t="s">
        <v>11</v>
      </c>
      <c r="G90" t="s">
        <v>106</v>
      </c>
      <c r="H90" t="s">
        <v>597</v>
      </c>
      <c r="I90" t="s">
        <v>223</v>
      </c>
      <c r="J90" t="s">
        <v>696</v>
      </c>
      <c r="K90" t="s">
        <v>354</v>
      </c>
      <c r="M90" t="s">
        <v>524</v>
      </c>
      <c r="N90" t="s">
        <v>566</v>
      </c>
      <c r="O90" t="str">
        <f t="shared" si="4"/>
        <v>S</v>
      </c>
      <c r="P90" t="str">
        <f t="shared" si="5"/>
        <v>07/05/2025</v>
      </c>
      <c r="Q90">
        <v>1</v>
      </c>
    </row>
    <row r="91" spans="1:17" ht="16.5" x14ac:dyDescent="0.25">
      <c r="A91">
        <v>90</v>
      </c>
      <c r="B91" t="s">
        <v>849</v>
      </c>
      <c r="C91" s="4">
        <v>45692</v>
      </c>
      <c r="D91" s="2">
        <v>45785</v>
      </c>
      <c r="E91" s="2">
        <v>45785</v>
      </c>
      <c r="F91" t="s">
        <v>11</v>
      </c>
      <c r="G91" t="s">
        <v>106</v>
      </c>
      <c r="H91" t="s">
        <v>597</v>
      </c>
      <c r="I91" t="s">
        <v>203</v>
      </c>
      <c r="J91" t="s">
        <v>696</v>
      </c>
      <c r="K91" t="s">
        <v>354</v>
      </c>
      <c r="M91" t="s">
        <v>524</v>
      </c>
      <c r="N91" t="s">
        <v>566</v>
      </c>
      <c r="O91" t="str">
        <f t="shared" si="4"/>
        <v>S</v>
      </c>
      <c r="P91" t="str">
        <f t="shared" si="5"/>
        <v>07/05/2025</v>
      </c>
      <c r="Q91">
        <v>1</v>
      </c>
    </row>
    <row r="92" spans="1:17" ht="16.5" x14ac:dyDescent="0.25">
      <c r="A92">
        <v>91</v>
      </c>
      <c r="B92" t="s">
        <v>849</v>
      </c>
      <c r="C92" s="4">
        <v>45770</v>
      </c>
      <c r="D92" s="2">
        <v>45785</v>
      </c>
      <c r="E92" s="2">
        <v>45785</v>
      </c>
      <c r="F92" t="s">
        <v>18</v>
      </c>
      <c r="G92" t="s">
        <v>119</v>
      </c>
      <c r="H92" t="s">
        <v>609</v>
      </c>
      <c r="I92" t="s">
        <v>234</v>
      </c>
      <c r="J92" t="s">
        <v>707</v>
      </c>
      <c r="K92" t="s">
        <v>355</v>
      </c>
      <c r="M92" t="s">
        <v>524</v>
      </c>
      <c r="N92" t="s">
        <v>566</v>
      </c>
      <c r="O92" t="str">
        <f t="shared" si="4"/>
        <v>S</v>
      </c>
      <c r="P92" t="str">
        <f t="shared" si="5"/>
        <v>07/05/2025</v>
      </c>
      <c r="Q92">
        <v>1</v>
      </c>
    </row>
    <row r="93" spans="1:17" ht="16.5" x14ac:dyDescent="0.25">
      <c r="A93">
        <v>92</v>
      </c>
      <c r="B93" t="s">
        <v>849</v>
      </c>
      <c r="C93" s="4">
        <v>45770</v>
      </c>
      <c r="D93" s="2">
        <v>45785</v>
      </c>
      <c r="E93" s="2">
        <v>45785</v>
      </c>
      <c r="F93" t="s">
        <v>18</v>
      </c>
      <c r="G93" t="s">
        <v>119</v>
      </c>
      <c r="H93" t="s">
        <v>609</v>
      </c>
      <c r="I93" t="s">
        <v>208</v>
      </c>
      <c r="J93" t="s">
        <v>707</v>
      </c>
      <c r="K93" t="s">
        <v>355</v>
      </c>
      <c r="M93" t="s">
        <v>524</v>
      </c>
      <c r="N93" t="s">
        <v>566</v>
      </c>
      <c r="O93" t="str">
        <f t="shared" si="4"/>
        <v>S</v>
      </c>
      <c r="P93" t="str">
        <f t="shared" si="5"/>
        <v>07/05/2025</v>
      </c>
      <c r="Q93">
        <v>1</v>
      </c>
    </row>
    <row r="94" spans="1:17" ht="16.5" x14ac:dyDescent="0.25">
      <c r="A94">
        <v>93</v>
      </c>
      <c r="B94" t="s">
        <v>849</v>
      </c>
      <c r="C94" s="4">
        <v>45692</v>
      </c>
      <c r="D94" s="2">
        <v>45787</v>
      </c>
      <c r="E94" s="2">
        <v>45788</v>
      </c>
      <c r="F94" t="s">
        <v>32</v>
      </c>
      <c r="G94" t="s">
        <v>120</v>
      </c>
      <c r="H94" t="s">
        <v>610</v>
      </c>
      <c r="I94" t="s">
        <v>235</v>
      </c>
      <c r="J94" t="s">
        <v>708</v>
      </c>
      <c r="K94" t="s">
        <v>356</v>
      </c>
      <c r="M94" t="s">
        <v>524</v>
      </c>
      <c r="N94" t="s">
        <v>569</v>
      </c>
      <c r="O94" t="str">
        <f t="shared" si="4"/>
        <v>S</v>
      </c>
      <c r="P94" t="str">
        <f t="shared" si="5"/>
        <v>07/05/2025</v>
      </c>
      <c r="Q94">
        <v>1</v>
      </c>
    </row>
    <row r="95" spans="1:17" ht="16.5" x14ac:dyDescent="0.25">
      <c r="A95">
        <v>94</v>
      </c>
      <c r="B95" t="s">
        <v>849</v>
      </c>
      <c r="C95" s="4">
        <v>45692</v>
      </c>
      <c r="D95" s="2">
        <v>45787</v>
      </c>
      <c r="E95" s="2">
        <v>45788</v>
      </c>
      <c r="F95" t="s">
        <v>32</v>
      </c>
      <c r="G95" t="s">
        <v>120</v>
      </c>
      <c r="H95" t="s">
        <v>610</v>
      </c>
      <c r="I95" t="s">
        <v>203</v>
      </c>
      <c r="J95" t="s">
        <v>708</v>
      </c>
      <c r="K95" t="s">
        <v>356</v>
      </c>
      <c r="M95" t="s">
        <v>524</v>
      </c>
      <c r="N95" t="s">
        <v>569</v>
      </c>
      <c r="O95" t="str">
        <f t="shared" si="4"/>
        <v>S</v>
      </c>
      <c r="P95" t="str">
        <f t="shared" si="5"/>
        <v>07/05/2025</v>
      </c>
      <c r="Q95">
        <v>1</v>
      </c>
    </row>
    <row r="96" spans="1:17" ht="16.5" x14ac:dyDescent="0.25">
      <c r="A96">
        <v>95</v>
      </c>
      <c r="B96" t="s">
        <v>849</v>
      </c>
      <c r="C96" s="4">
        <v>45776</v>
      </c>
      <c r="D96" s="2">
        <v>45789</v>
      </c>
      <c r="E96" s="2">
        <v>45791</v>
      </c>
      <c r="F96" t="s">
        <v>33</v>
      </c>
      <c r="G96" t="s">
        <v>121</v>
      </c>
      <c r="H96" t="s">
        <v>611</v>
      </c>
      <c r="I96" t="s">
        <v>236</v>
      </c>
      <c r="J96" t="s">
        <v>709</v>
      </c>
      <c r="K96" t="s">
        <v>357</v>
      </c>
      <c r="M96" t="s">
        <v>525</v>
      </c>
      <c r="N96" t="s">
        <v>567</v>
      </c>
      <c r="O96" t="str">
        <f t="shared" si="4"/>
        <v>S</v>
      </c>
      <c r="P96" t="str">
        <f t="shared" si="5"/>
        <v>12/05/2025</v>
      </c>
      <c r="Q96">
        <v>1</v>
      </c>
    </row>
    <row r="97" spans="1:17" ht="16.5" x14ac:dyDescent="0.25">
      <c r="A97">
        <v>96</v>
      </c>
      <c r="B97" t="s">
        <v>849</v>
      </c>
      <c r="C97" s="4">
        <v>45776</v>
      </c>
      <c r="D97" s="2">
        <v>45789</v>
      </c>
      <c r="E97" s="2">
        <v>45791</v>
      </c>
      <c r="F97" t="s">
        <v>33</v>
      </c>
      <c r="G97" t="s">
        <v>121</v>
      </c>
      <c r="H97" t="s">
        <v>611</v>
      </c>
      <c r="I97" t="s">
        <v>203</v>
      </c>
      <c r="J97" t="s">
        <v>709</v>
      </c>
      <c r="K97" t="s">
        <v>357</v>
      </c>
      <c r="M97" t="s">
        <v>525</v>
      </c>
      <c r="N97" t="s">
        <v>567</v>
      </c>
      <c r="O97" t="str">
        <f t="shared" si="4"/>
        <v>S</v>
      </c>
      <c r="P97" t="str">
        <f t="shared" si="5"/>
        <v>12/05/2025</v>
      </c>
      <c r="Q97">
        <v>1</v>
      </c>
    </row>
    <row r="98" spans="1:17" ht="16.5" x14ac:dyDescent="0.25">
      <c r="A98">
        <v>97</v>
      </c>
      <c r="B98" t="s">
        <v>849</v>
      </c>
      <c r="C98" s="4">
        <v>45867</v>
      </c>
      <c r="D98" s="2">
        <v>45792</v>
      </c>
      <c r="E98" s="2">
        <v>45793</v>
      </c>
      <c r="F98" t="s">
        <v>34</v>
      </c>
      <c r="G98" t="s">
        <v>122</v>
      </c>
      <c r="H98" t="s">
        <v>612</v>
      </c>
      <c r="I98" t="s">
        <v>237</v>
      </c>
      <c r="J98" t="s">
        <v>710</v>
      </c>
      <c r="K98" t="s">
        <v>358</v>
      </c>
      <c r="M98" t="s">
        <v>525</v>
      </c>
      <c r="N98" t="s">
        <v>564</v>
      </c>
      <c r="O98" t="str">
        <f t="shared" ref="O98:O129" si="6">IF(OR(ISNUMBER(FIND("ENTREGUES",M98)),N98="Preto",N98="Cinza"),"S","N")</f>
        <v>S</v>
      </c>
      <c r="P98" t="str">
        <f t="shared" si="5"/>
        <v>12/05/2025</v>
      </c>
      <c r="Q98">
        <v>1</v>
      </c>
    </row>
    <row r="99" spans="1:17" ht="16.5" x14ac:dyDescent="0.25">
      <c r="A99">
        <v>98</v>
      </c>
      <c r="B99" t="s">
        <v>849</v>
      </c>
      <c r="C99" s="4">
        <v>45867</v>
      </c>
      <c r="D99" s="2">
        <v>45792</v>
      </c>
      <c r="E99" s="2">
        <v>45793</v>
      </c>
      <c r="F99" t="s">
        <v>34</v>
      </c>
      <c r="G99" t="s">
        <v>122</v>
      </c>
      <c r="H99" t="s">
        <v>612</v>
      </c>
      <c r="I99" t="s">
        <v>203</v>
      </c>
      <c r="J99" t="s">
        <v>710</v>
      </c>
      <c r="K99" t="s">
        <v>358</v>
      </c>
      <c r="M99" t="s">
        <v>525</v>
      </c>
      <c r="N99" t="s">
        <v>564</v>
      </c>
      <c r="O99" t="str">
        <f t="shared" si="6"/>
        <v>S</v>
      </c>
      <c r="P99" t="str">
        <f t="shared" si="5"/>
        <v>12/05/2025</v>
      </c>
      <c r="Q99">
        <v>1</v>
      </c>
    </row>
    <row r="100" spans="1:17" ht="16.5" x14ac:dyDescent="0.25">
      <c r="A100">
        <v>99</v>
      </c>
      <c r="B100" t="s">
        <v>0</v>
      </c>
      <c r="C100" s="4">
        <v>45793</v>
      </c>
      <c r="D100" s="2">
        <v>45794</v>
      </c>
      <c r="E100" s="2">
        <v>45795</v>
      </c>
      <c r="F100" t="s">
        <v>35</v>
      </c>
      <c r="G100" t="s">
        <v>123</v>
      </c>
      <c r="H100" t="s">
        <v>612</v>
      </c>
      <c r="I100" t="s">
        <v>238</v>
      </c>
      <c r="J100" t="s">
        <v>711</v>
      </c>
      <c r="K100" t="s">
        <v>359</v>
      </c>
      <c r="M100" t="s">
        <v>577</v>
      </c>
      <c r="N100" t="s">
        <v>565</v>
      </c>
      <c r="O100" t="str">
        <f t="shared" si="6"/>
        <v>S</v>
      </c>
      <c r="P100" t="str">
        <f t="shared" si="5"/>
        <v/>
      </c>
      <c r="Q100">
        <v>1</v>
      </c>
    </row>
    <row r="101" spans="1:17" ht="16.5" x14ac:dyDescent="0.25">
      <c r="A101">
        <v>100</v>
      </c>
      <c r="B101" t="s">
        <v>0</v>
      </c>
      <c r="C101" s="4">
        <v>45793</v>
      </c>
      <c r="D101" s="2">
        <v>45794</v>
      </c>
      <c r="E101" s="2">
        <v>45795</v>
      </c>
      <c r="F101" t="s">
        <v>35</v>
      </c>
      <c r="G101" t="s">
        <v>123</v>
      </c>
      <c r="H101" t="s">
        <v>612</v>
      </c>
      <c r="I101" t="s">
        <v>203</v>
      </c>
      <c r="J101" t="s">
        <v>711</v>
      </c>
      <c r="K101" t="s">
        <v>359</v>
      </c>
      <c r="M101" t="s">
        <v>577</v>
      </c>
      <c r="N101" t="s">
        <v>565</v>
      </c>
      <c r="O101" t="str">
        <f t="shared" si="6"/>
        <v>S</v>
      </c>
      <c r="P101" t="str">
        <f t="shared" si="5"/>
        <v/>
      </c>
      <c r="Q101">
        <v>1</v>
      </c>
    </row>
    <row r="102" spans="1:17" ht="16.5" x14ac:dyDescent="0.25">
      <c r="A102">
        <v>101</v>
      </c>
      <c r="B102" t="s">
        <v>849</v>
      </c>
      <c r="C102" s="4">
        <v>45692</v>
      </c>
      <c r="D102" s="2">
        <v>45794</v>
      </c>
      <c r="E102" s="2">
        <v>45795</v>
      </c>
      <c r="F102" t="s">
        <v>32</v>
      </c>
      <c r="G102" t="s">
        <v>120</v>
      </c>
      <c r="H102" t="s">
        <v>610</v>
      </c>
      <c r="I102" t="s">
        <v>235</v>
      </c>
      <c r="J102" t="s">
        <v>708</v>
      </c>
      <c r="K102" t="s">
        <v>360</v>
      </c>
      <c r="M102" t="s">
        <v>525</v>
      </c>
      <c r="N102" t="s">
        <v>572</v>
      </c>
      <c r="O102" t="str">
        <f t="shared" si="6"/>
        <v>S</v>
      </c>
      <c r="P102" t="str">
        <f t="shared" si="5"/>
        <v>12/05/2025</v>
      </c>
      <c r="Q102">
        <v>1</v>
      </c>
    </row>
    <row r="103" spans="1:17" ht="16.5" x14ac:dyDescent="0.25">
      <c r="A103">
        <v>102</v>
      </c>
      <c r="B103" t="s">
        <v>849</v>
      </c>
      <c r="C103" s="4">
        <v>45692</v>
      </c>
      <c r="D103" s="2">
        <v>45794</v>
      </c>
      <c r="E103" s="2">
        <v>45795</v>
      </c>
      <c r="F103" t="s">
        <v>32</v>
      </c>
      <c r="G103" t="s">
        <v>120</v>
      </c>
      <c r="H103" t="s">
        <v>610</v>
      </c>
      <c r="I103" t="s">
        <v>208</v>
      </c>
      <c r="J103" t="s">
        <v>708</v>
      </c>
      <c r="K103" t="s">
        <v>360</v>
      </c>
      <c r="M103" t="s">
        <v>525</v>
      </c>
      <c r="N103" t="s">
        <v>572</v>
      </c>
      <c r="O103" t="str">
        <f t="shared" si="6"/>
        <v>S</v>
      </c>
      <c r="P103" t="str">
        <f t="shared" si="5"/>
        <v>12/05/2025</v>
      </c>
      <c r="Q103">
        <v>1</v>
      </c>
    </row>
    <row r="104" spans="1:17" ht="16.5" x14ac:dyDescent="0.25">
      <c r="A104">
        <v>103</v>
      </c>
      <c r="B104" t="s">
        <v>849</v>
      </c>
      <c r="C104" s="4">
        <v>45709</v>
      </c>
      <c r="D104" s="2">
        <v>45794</v>
      </c>
      <c r="E104" s="2">
        <v>45795</v>
      </c>
      <c r="F104" t="s">
        <v>19</v>
      </c>
      <c r="G104" t="s">
        <v>124</v>
      </c>
      <c r="H104" t="s">
        <v>613</v>
      </c>
      <c r="I104" t="s">
        <v>239</v>
      </c>
      <c r="J104" t="s">
        <v>712</v>
      </c>
      <c r="K104" t="s">
        <v>361</v>
      </c>
      <c r="M104" t="s">
        <v>525</v>
      </c>
      <c r="N104" t="s">
        <v>572</v>
      </c>
      <c r="O104" t="str">
        <f t="shared" si="6"/>
        <v>S</v>
      </c>
      <c r="P104" t="str">
        <f t="shared" si="5"/>
        <v>12/05/2025</v>
      </c>
      <c r="Q104">
        <v>1</v>
      </c>
    </row>
    <row r="105" spans="1:17" ht="16.5" x14ac:dyDescent="0.25">
      <c r="A105">
        <v>104</v>
      </c>
      <c r="B105" t="s">
        <v>849</v>
      </c>
      <c r="C105" s="4">
        <v>45709</v>
      </c>
      <c r="D105" s="2">
        <v>45794</v>
      </c>
      <c r="E105" s="2">
        <v>45795</v>
      </c>
      <c r="F105" t="s">
        <v>19</v>
      </c>
      <c r="G105" t="s">
        <v>124</v>
      </c>
      <c r="H105" t="s">
        <v>613</v>
      </c>
      <c r="I105" t="s">
        <v>208</v>
      </c>
      <c r="J105" t="s">
        <v>712</v>
      </c>
      <c r="K105" t="s">
        <v>361</v>
      </c>
      <c r="M105" t="s">
        <v>525</v>
      </c>
      <c r="N105" t="s">
        <v>572</v>
      </c>
      <c r="O105" t="str">
        <f t="shared" si="6"/>
        <v>S</v>
      </c>
      <c r="P105" t="str">
        <f t="shared" si="5"/>
        <v>12/05/2025</v>
      </c>
      <c r="Q105">
        <v>1</v>
      </c>
    </row>
    <row r="106" spans="1:17" ht="16.5" x14ac:dyDescent="0.25">
      <c r="A106">
        <v>105</v>
      </c>
      <c r="B106" t="s">
        <v>849</v>
      </c>
      <c r="C106" s="4">
        <v>45785</v>
      </c>
      <c r="D106" s="2">
        <v>45794</v>
      </c>
      <c r="E106" s="2">
        <v>45795</v>
      </c>
      <c r="F106" t="s">
        <v>18</v>
      </c>
      <c r="G106" t="s">
        <v>125</v>
      </c>
      <c r="H106" t="s">
        <v>613</v>
      </c>
      <c r="I106" t="s">
        <v>240</v>
      </c>
      <c r="J106" t="s">
        <v>713</v>
      </c>
      <c r="K106" t="s">
        <v>362</v>
      </c>
      <c r="M106" t="s">
        <v>525</v>
      </c>
      <c r="N106" t="s">
        <v>572</v>
      </c>
      <c r="O106" t="str">
        <f t="shared" si="6"/>
        <v>S</v>
      </c>
      <c r="P106" t="str">
        <f t="shared" si="5"/>
        <v>12/05/2025</v>
      </c>
      <c r="Q106">
        <v>1</v>
      </c>
    </row>
    <row r="107" spans="1:17" ht="16.5" x14ac:dyDescent="0.25">
      <c r="A107">
        <v>106</v>
      </c>
      <c r="B107" t="s">
        <v>849</v>
      </c>
      <c r="C107" s="4">
        <v>45785</v>
      </c>
      <c r="D107" s="2">
        <v>45794</v>
      </c>
      <c r="E107" s="2">
        <v>45795</v>
      </c>
      <c r="F107" t="s">
        <v>18</v>
      </c>
      <c r="G107" t="s">
        <v>125</v>
      </c>
      <c r="H107" t="s">
        <v>613</v>
      </c>
      <c r="I107" t="s">
        <v>208</v>
      </c>
      <c r="J107" t="s">
        <v>713</v>
      </c>
      <c r="K107" t="s">
        <v>362</v>
      </c>
      <c r="M107" t="s">
        <v>525</v>
      </c>
      <c r="N107" t="s">
        <v>572</v>
      </c>
      <c r="O107" t="str">
        <f t="shared" si="6"/>
        <v>S</v>
      </c>
      <c r="P107" t="str">
        <f t="shared" si="5"/>
        <v>12/05/2025</v>
      </c>
      <c r="Q107">
        <v>1</v>
      </c>
    </row>
    <row r="108" spans="1:17" ht="16.5" x14ac:dyDescent="0.25">
      <c r="A108">
        <v>107</v>
      </c>
      <c r="B108" t="s">
        <v>849</v>
      </c>
      <c r="C108" s="4">
        <v>45793</v>
      </c>
      <c r="D108" s="2">
        <v>45794</v>
      </c>
      <c r="E108" s="2">
        <v>45795</v>
      </c>
      <c r="F108" t="s">
        <v>35</v>
      </c>
      <c r="G108" t="s">
        <v>123</v>
      </c>
      <c r="H108" t="s">
        <v>613</v>
      </c>
      <c r="I108" t="s">
        <v>238</v>
      </c>
      <c r="J108" t="s">
        <v>711</v>
      </c>
      <c r="K108" t="s">
        <v>363</v>
      </c>
      <c r="M108" t="s">
        <v>525</v>
      </c>
      <c r="N108" t="s">
        <v>572</v>
      </c>
      <c r="O108" t="str">
        <f t="shared" si="6"/>
        <v>S</v>
      </c>
      <c r="P108" t="str">
        <f t="shared" si="5"/>
        <v>12/05/2025</v>
      </c>
      <c r="Q108">
        <v>1</v>
      </c>
    </row>
    <row r="109" spans="1:17" ht="16.5" x14ac:dyDescent="0.25">
      <c r="A109">
        <v>108</v>
      </c>
      <c r="B109" t="s">
        <v>849</v>
      </c>
      <c r="C109" s="4">
        <v>45793</v>
      </c>
      <c r="D109" s="2">
        <v>45794</v>
      </c>
      <c r="E109" s="2">
        <v>45795</v>
      </c>
      <c r="F109" t="s">
        <v>35</v>
      </c>
      <c r="G109" t="s">
        <v>123</v>
      </c>
      <c r="H109" t="s">
        <v>613</v>
      </c>
      <c r="I109" t="s">
        <v>203</v>
      </c>
      <c r="J109" t="s">
        <v>711</v>
      </c>
      <c r="K109" t="s">
        <v>363</v>
      </c>
      <c r="M109" t="s">
        <v>525</v>
      </c>
      <c r="N109" t="s">
        <v>572</v>
      </c>
      <c r="O109" t="str">
        <f t="shared" si="6"/>
        <v>S</v>
      </c>
      <c r="P109" t="str">
        <f t="shared" ref="P109:P140" si="7">IF(N109="Preto", "", MID(M109, FIND("em ", M109) + 3, 10))</f>
        <v>12/05/2025</v>
      </c>
      <c r="Q109">
        <v>1</v>
      </c>
    </row>
    <row r="110" spans="1:17" ht="16.5" x14ac:dyDescent="0.25">
      <c r="A110">
        <v>109</v>
      </c>
      <c r="B110" t="s">
        <v>849</v>
      </c>
      <c r="C110" s="4">
        <v>45712</v>
      </c>
      <c r="D110" s="2">
        <v>45796</v>
      </c>
      <c r="E110" s="2">
        <v>45797</v>
      </c>
      <c r="F110" t="s">
        <v>36</v>
      </c>
      <c r="G110" t="s">
        <v>126</v>
      </c>
      <c r="H110" t="s">
        <v>614</v>
      </c>
      <c r="I110" t="s">
        <v>241</v>
      </c>
      <c r="J110" t="s">
        <v>714</v>
      </c>
      <c r="K110" t="s">
        <v>364</v>
      </c>
      <c r="M110" t="s">
        <v>525</v>
      </c>
      <c r="N110" t="s">
        <v>567</v>
      </c>
      <c r="O110" t="str">
        <f t="shared" si="6"/>
        <v>S</v>
      </c>
      <c r="P110" t="str">
        <f t="shared" si="7"/>
        <v>12/05/2025</v>
      </c>
      <c r="Q110">
        <v>1</v>
      </c>
    </row>
    <row r="111" spans="1:17" ht="16.5" x14ac:dyDescent="0.25">
      <c r="A111">
        <v>110</v>
      </c>
      <c r="B111" t="s">
        <v>849</v>
      </c>
      <c r="C111" s="4">
        <v>45712</v>
      </c>
      <c r="D111" s="2">
        <v>45796</v>
      </c>
      <c r="E111" s="2">
        <v>45797</v>
      </c>
      <c r="F111" t="s">
        <v>36</v>
      </c>
      <c r="G111" t="s">
        <v>126</v>
      </c>
      <c r="H111" t="s">
        <v>614</v>
      </c>
      <c r="I111" t="s">
        <v>208</v>
      </c>
      <c r="J111" t="s">
        <v>714</v>
      </c>
      <c r="K111" t="s">
        <v>364</v>
      </c>
      <c r="M111" t="s">
        <v>525</v>
      </c>
      <c r="N111" t="s">
        <v>567</v>
      </c>
      <c r="O111" t="str">
        <f t="shared" si="6"/>
        <v>S</v>
      </c>
      <c r="P111" t="str">
        <f t="shared" si="7"/>
        <v>12/05/2025</v>
      </c>
      <c r="Q111">
        <v>1</v>
      </c>
    </row>
    <row r="112" spans="1:17" ht="16.5" x14ac:dyDescent="0.25">
      <c r="A112">
        <v>111</v>
      </c>
      <c r="B112" t="s">
        <v>849</v>
      </c>
      <c r="C112" s="4">
        <v>45740</v>
      </c>
      <c r="D112" s="2">
        <v>45798</v>
      </c>
      <c r="E112" s="2">
        <v>45799</v>
      </c>
      <c r="F112" t="s">
        <v>37</v>
      </c>
      <c r="G112" t="s">
        <v>127</v>
      </c>
      <c r="H112" t="s">
        <v>615</v>
      </c>
      <c r="I112" t="s">
        <v>242</v>
      </c>
      <c r="J112" t="s">
        <v>715</v>
      </c>
      <c r="K112" t="s">
        <v>365</v>
      </c>
      <c r="M112" t="s">
        <v>526</v>
      </c>
      <c r="N112" t="s">
        <v>570</v>
      </c>
      <c r="O112" t="str">
        <f t="shared" si="6"/>
        <v>S</v>
      </c>
      <c r="P112" t="str">
        <f t="shared" si="7"/>
        <v>16/05/2025</v>
      </c>
      <c r="Q112">
        <v>1</v>
      </c>
    </row>
    <row r="113" spans="1:17" ht="16.5" x14ac:dyDescent="0.25">
      <c r="A113">
        <v>112</v>
      </c>
      <c r="B113" t="s">
        <v>849</v>
      </c>
      <c r="C113" s="4">
        <v>45740</v>
      </c>
      <c r="D113" s="2">
        <v>45798</v>
      </c>
      <c r="E113" s="2">
        <v>45799</v>
      </c>
      <c r="F113" t="s">
        <v>37</v>
      </c>
      <c r="G113" t="s">
        <v>127</v>
      </c>
      <c r="H113" t="s">
        <v>615</v>
      </c>
      <c r="I113" t="s">
        <v>208</v>
      </c>
      <c r="J113" t="s">
        <v>715</v>
      </c>
      <c r="K113" t="s">
        <v>365</v>
      </c>
      <c r="M113" t="s">
        <v>526</v>
      </c>
      <c r="N113" t="s">
        <v>570</v>
      </c>
      <c r="O113" t="str">
        <f t="shared" si="6"/>
        <v>S</v>
      </c>
      <c r="P113" t="str">
        <f t="shared" si="7"/>
        <v>16/05/2025</v>
      </c>
      <c r="Q113">
        <v>1</v>
      </c>
    </row>
    <row r="114" spans="1:17" ht="16.5" x14ac:dyDescent="0.25">
      <c r="A114">
        <v>113</v>
      </c>
      <c r="B114" t="s">
        <v>0</v>
      </c>
      <c r="C114" s="4">
        <v>45791</v>
      </c>
      <c r="D114" s="2">
        <v>45799</v>
      </c>
      <c r="E114" s="2">
        <v>45799</v>
      </c>
      <c r="F114" t="s">
        <v>38</v>
      </c>
      <c r="G114" t="s">
        <v>128</v>
      </c>
      <c r="H114" t="s">
        <v>615</v>
      </c>
      <c r="I114" t="s">
        <v>243</v>
      </c>
      <c r="J114" t="s">
        <v>716</v>
      </c>
      <c r="K114" t="s">
        <v>366</v>
      </c>
      <c r="M114" t="s">
        <v>577</v>
      </c>
      <c r="N114" t="s">
        <v>565</v>
      </c>
      <c r="O114" t="str">
        <f t="shared" si="6"/>
        <v>S</v>
      </c>
      <c r="P114" t="str">
        <f t="shared" si="7"/>
        <v/>
      </c>
      <c r="Q114">
        <v>1</v>
      </c>
    </row>
    <row r="115" spans="1:17" ht="16.5" x14ac:dyDescent="0.25">
      <c r="A115">
        <v>114</v>
      </c>
      <c r="B115" t="s">
        <v>0</v>
      </c>
      <c r="C115" s="4">
        <v>45791</v>
      </c>
      <c r="D115" s="2">
        <v>45799</v>
      </c>
      <c r="E115" s="2">
        <v>45799</v>
      </c>
      <c r="F115" t="s">
        <v>38</v>
      </c>
      <c r="G115" t="s">
        <v>128</v>
      </c>
      <c r="H115" t="s">
        <v>615</v>
      </c>
      <c r="I115" t="s">
        <v>208</v>
      </c>
      <c r="J115" t="s">
        <v>716</v>
      </c>
      <c r="K115" t="s">
        <v>366</v>
      </c>
      <c r="M115" t="s">
        <v>577</v>
      </c>
      <c r="N115" t="s">
        <v>565</v>
      </c>
      <c r="O115" t="str">
        <f t="shared" si="6"/>
        <v>S</v>
      </c>
      <c r="P115" t="str">
        <f t="shared" si="7"/>
        <v/>
      </c>
      <c r="Q115">
        <v>1</v>
      </c>
    </row>
    <row r="116" spans="1:17" ht="16.5" x14ac:dyDescent="0.25">
      <c r="A116">
        <v>115</v>
      </c>
      <c r="B116" t="s">
        <v>0</v>
      </c>
      <c r="C116" s="4">
        <v>45798</v>
      </c>
      <c r="D116" s="2">
        <v>45800</v>
      </c>
      <c r="E116" s="2">
        <v>45800</v>
      </c>
      <c r="F116" t="s">
        <v>39</v>
      </c>
      <c r="G116" t="s">
        <v>127</v>
      </c>
      <c r="H116" t="s">
        <v>615</v>
      </c>
      <c r="I116" t="s">
        <v>244</v>
      </c>
      <c r="J116" t="s">
        <v>716</v>
      </c>
      <c r="K116" t="s">
        <v>367</v>
      </c>
      <c r="M116" t="s">
        <v>577</v>
      </c>
      <c r="N116" t="s">
        <v>565</v>
      </c>
      <c r="O116" t="str">
        <f t="shared" si="6"/>
        <v>S</v>
      </c>
      <c r="P116" t="str">
        <f t="shared" si="7"/>
        <v/>
      </c>
      <c r="Q116">
        <v>1</v>
      </c>
    </row>
    <row r="117" spans="1:17" ht="16.5" x14ac:dyDescent="0.25">
      <c r="A117">
        <v>116</v>
      </c>
      <c r="B117" t="s">
        <v>0</v>
      </c>
      <c r="C117" s="4">
        <v>45798</v>
      </c>
      <c r="D117" s="2">
        <v>45800</v>
      </c>
      <c r="E117" s="2">
        <v>45800</v>
      </c>
      <c r="F117" t="s">
        <v>39</v>
      </c>
      <c r="G117" t="s">
        <v>127</v>
      </c>
      <c r="H117" t="s">
        <v>615</v>
      </c>
      <c r="I117" t="s">
        <v>203</v>
      </c>
      <c r="J117" t="s">
        <v>716</v>
      </c>
      <c r="K117" t="s">
        <v>367</v>
      </c>
      <c r="M117" t="s">
        <v>577</v>
      </c>
      <c r="N117" t="s">
        <v>565</v>
      </c>
      <c r="O117" t="str">
        <f t="shared" si="6"/>
        <v>S</v>
      </c>
      <c r="P117" t="str">
        <f t="shared" si="7"/>
        <v/>
      </c>
      <c r="Q117">
        <v>1</v>
      </c>
    </row>
    <row r="118" spans="1:17" ht="16.5" x14ac:dyDescent="0.25">
      <c r="A118">
        <v>117</v>
      </c>
      <c r="B118" t="s">
        <v>849</v>
      </c>
      <c r="C118" s="4">
        <v>45770</v>
      </c>
      <c r="D118" s="2">
        <v>45803</v>
      </c>
      <c r="E118" s="2">
        <v>45804</v>
      </c>
      <c r="F118" t="s">
        <v>16</v>
      </c>
      <c r="G118" t="s">
        <v>129</v>
      </c>
      <c r="H118" t="s">
        <v>615</v>
      </c>
      <c r="I118" t="s">
        <v>245</v>
      </c>
      <c r="J118" t="s">
        <v>717</v>
      </c>
      <c r="K118" t="s">
        <v>368</v>
      </c>
      <c r="M118" t="s">
        <v>526</v>
      </c>
      <c r="N118" t="s">
        <v>567</v>
      </c>
      <c r="O118" t="str">
        <f t="shared" si="6"/>
        <v>S</v>
      </c>
      <c r="P118" t="str">
        <f t="shared" si="7"/>
        <v>16/05/2025</v>
      </c>
      <c r="Q118">
        <v>1</v>
      </c>
    </row>
    <row r="119" spans="1:17" ht="16.5" x14ac:dyDescent="0.25">
      <c r="A119">
        <v>118</v>
      </c>
      <c r="B119" t="s">
        <v>849</v>
      </c>
      <c r="C119" s="4">
        <v>45770</v>
      </c>
      <c r="D119" s="2">
        <v>45803</v>
      </c>
      <c r="E119" s="2">
        <v>45804</v>
      </c>
      <c r="F119" t="s">
        <v>16</v>
      </c>
      <c r="G119" t="s">
        <v>129</v>
      </c>
      <c r="H119" t="s">
        <v>615</v>
      </c>
      <c r="I119" t="s">
        <v>208</v>
      </c>
      <c r="J119" t="s">
        <v>717</v>
      </c>
      <c r="K119" t="s">
        <v>368</v>
      </c>
      <c r="M119" t="s">
        <v>526</v>
      </c>
      <c r="N119" t="s">
        <v>567</v>
      </c>
      <c r="O119" t="str">
        <f t="shared" si="6"/>
        <v>S</v>
      </c>
      <c r="P119" t="str">
        <f t="shared" si="7"/>
        <v>16/05/2025</v>
      </c>
      <c r="Q119">
        <v>1</v>
      </c>
    </row>
    <row r="120" spans="1:17" ht="16.5" x14ac:dyDescent="0.25">
      <c r="A120">
        <v>119</v>
      </c>
      <c r="B120" t="s">
        <v>849</v>
      </c>
      <c r="C120" s="4">
        <v>45790</v>
      </c>
      <c r="D120" s="2">
        <v>45805</v>
      </c>
      <c r="E120" s="2">
        <v>45806</v>
      </c>
      <c r="F120" t="s">
        <v>40</v>
      </c>
      <c r="G120" t="s">
        <v>130</v>
      </c>
      <c r="H120" t="s">
        <v>616</v>
      </c>
      <c r="I120" t="s">
        <v>246</v>
      </c>
      <c r="J120" t="s">
        <v>718</v>
      </c>
      <c r="K120" t="s">
        <v>369</v>
      </c>
      <c r="M120" t="s">
        <v>527</v>
      </c>
      <c r="N120" t="s">
        <v>569</v>
      </c>
      <c r="O120" t="str">
        <f t="shared" si="6"/>
        <v>S</v>
      </c>
      <c r="P120" t="str">
        <f t="shared" si="7"/>
        <v>28/05/2025</v>
      </c>
      <c r="Q120">
        <v>1</v>
      </c>
    </row>
    <row r="121" spans="1:17" ht="16.5" x14ac:dyDescent="0.25">
      <c r="A121">
        <v>120</v>
      </c>
      <c r="B121" t="s">
        <v>849</v>
      </c>
      <c r="C121" s="4">
        <v>45790</v>
      </c>
      <c r="D121" s="2">
        <v>45805</v>
      </c>
      <c r="E121" s="2">
        <v>45806</v>
      </c>
      <c r="F121" t="s">
        <v>40</v>
      </c>
      <c r="G121" t="s">
        <v>130</v>
      </c>
      <c r="H121" t="s">
        <v>616</v>
      </c>
      <c r="I121" t="s">
        <v>208</v>
      </c>
      <c r="J121" t="s">
        <v>718</v>
      </c>
      <c r="K121" t="s">
        <v>369</v>
      </c>
      <c r="M121" t="s">
        <v>527</v>
      </c>
      <c r="N121" t="s">
        <v>569</v>
      </c>
      <c r="O121" t="str">
        <f t="shared" si="6"/>
        <v>S</v>
      </c>
      <c r="P121" t="str">
        <f t="shared" si="7"/>
        <v>28/05/2025</v>
      </c>
      <c r="Q121">
        <v>1</v>
      </c>
    </row>
    <row r="122" spans="1:17" ht="16.5" x14ac:dyDescent="0.25">
      <c r="A122">
        <v>121</v>
      </c>
      <c r="B122" t="s">
        <v>0</v>
      </c>
      <c r="C122" s="4">
        <v>45796</v>
      </c>
      <c r="D122" s="2">
        <v>45806</v>
      </c>
      <c r="E122" s="2">
        <v>45806</v>
      </c>
      <c r="F122" t="s">
        <v>41</v>
      </c>
      <c r="G122" t="s">
        <v>131</v>
      </c>
      <c r="H122" t="s">
        <v>617</v>
      </c>
      <c r="I122" t="s">
        <v>247</v>
      </c>
      <c r="J122" t="s">
        <v>719</v>
      </c>
      <c r="K122" t="s">
        <v>370</v>
      </c>
      <c r="M122" t="s">
        <v>577</v>
      </c>
      <c r="N122" t="s">
        <v>565</v>
      </c>
      <c r="O122" t="str">
        <f t="shared" si="6"/>
        <v>S</v>
      </c>
      <c r="P122" t="str">
        <f t="shared" si="7"/>
        <v/>
      </c>
      <c r="Q122">
        <v>1</v>
      </c>
    </row>
    <row r="123" spans="1:17" ht="16.5" x14ac:dyDescent="0.25">
      <c r="A123">
        <v>122</v>
      </c>
      <c r="B123" t="s">
        <v>0</v>
      </c>
      <c r="C123" s="4">
        <v>45796</v>
      </c>
      <c r="D123" s="2">
        <v>45806</v>
      </c>
      <c r="E123" s="2">
        <v>45806</v>
      </c>
      <c r="F123" t="s">
        <v>41</v>
      </c>
      <c r="G123" t="s">
        <v>131</v>
      </c>
      <c r="H123" t="s">
        <v>617</v>
      </c>
      <c r="I123" t="s">
        <v>203</v>
      </c>
      <c r="J123" t="s">
        <v>719</v>
      </c>
      <c r="K123" t="s">
        <v>370</v>
      </c>
      <c r="M123" t="s">
        <v>577</v>
      </c>
      <c r="N123" t="s">
        <v>565</v>
      </c>
      <c r="O123" t="str">
        <f t="shared" si="6"/>
        <v>S</v>
      </c>
      <c r="P123" t="str">
        <f t="shared" si="7"/>
        <v/>
      </c>
      <c r="Q123">
        <v>1</v>
      </c>
    </row>
    <row r="124" spans="1:17" ht="16.5" x14ac:dyDescent="0.25">
      <c r="A124">
        <v>123</v>
      </c>
      <c r="B124" t="s">
        <v>849</v>
      </c>
      <c r="C124" s="4">
        <v>45700</v>
      </c>
      <c r="D124" s="2">
        <v>45807</v>
      </c>
      <c r="E124" s="2">
        <v>45808</v>
      </c>
      <c r="F124" t="s">
        <v>42</v>
      </c>
      <c r="G124" t="s">
        <v>132</v>
      </c>
      <c r="H124" t="s">
        <v>618</v>
      </c>
      <c r="I124" t="s">
        <v>248</v>
      </c>
      <c r="J124" t="s">
        <v>720</v>
      </c>
      <c r="K124" t="s">
        <v>371</v>
      </c>
      <c r="M124" t="s">
        <v>527</v>
      </c>
      <c r="N124" t="s">
        <v>570</v>
      </c>
      <c r="O124" t="str">
        <f t="shared" si="6"/>
        <v>S</v>
      </c>
      <c r="P124" t="str">
        <f t="shared" si="7"/>
        <v>28/05/2025</v>
      </c>
      <c r="Q124">
        <v>1</v>
      </c>
    </row>
    <row r="125" spans="1:17" ht="16.5" x14ac:dyDescent="0.25">
      <c r="A125">
        <v>124</v>
      </c>
      <c r="B125" t="s">
        <v>849</v>
      </c>
      <c r="C125" s="4">
        <v>45700</v>
      </c>
      <c r="D125" s="2">
        <v>45807</v>
      </c>
      <c r="E125" s="2">
        <v>45808</v>
      </c>
      <c r="F125" t="s">
        <v>42</v>
      </c>
      <c r="G125" t="s">
        <v>132</v>
      </c>
      <c r="H125" t="s">
        <v>618</v>
      </c>
      <c r="I125" t="s">
        <v>208</v>
      </c>
      <c r="J125" t="s">
        <v>720</v>
      </c>
      <c r="K125" t="s">
        <v>371</v>
      </c>
      <c r="M125" t="s">
        <v>527</v>
      </c>
      <c r="N125" t="s">
        <v>570</v>
      </c>
      <c r="O125" t="str">
        <f t="shared" si="6"/>
        <v>S</v>
      </c>
      <c r="P125" t="str">
        <f t="shared" si="7"/>
        <v>28/05/2025</v>
      </c>
      <c r="Q125">
        <v>1</v>
      </c>
    </row>
    <row r="126" spans="1:17" ht="16.5" x14ac:dyDescent="0.25">
      <c r="A126">
        <v>125</v>
      </c>
      <c r="B126" t="s">
        <v>849</v>
      </c>
      <c r="C126" s="4">
        <v>45793</v>
      </c>
      <c r="D126" s="2">
        <v>45807</v>
      </c>
      <c r="E126" s="2">
        <v>45808</v>
      </c>
      <c r="F126" t="s">
        <v>43</v>
      </c>
      <c r="G126" t="s">
        <v>133</v>
      </c>
      <c r="H126" t="s">
        <v>619</v>
      </c>
      <c r="I126" t="s">
        <v>249</v>
      </c>
      <c r="J126" t="s">
        <v>721</v>
      </c>
      <c r="K126" t="s">
        <v>372</v>
      </c>
      <c r="M126" t="s">
        <v>527</v>
      </c>
      <c r="N126" t="s">
        <v>570</v>
      </c>
      <c r="O126" t="str">
        <f t="shared" si="6"/>
        <v>S</v>
      </c>
      <c r="P126" t="str">
        <f t="shared" si="7"/>
        <v>28/05/2025</v>
      </c>
      <c r="Q126">
        <v>1</v>
      </c>
    </row>
    <row r="127" spans="1:17" ht="16.5" x14ac:dyDescent="0.25">
      <c r="A127">
        <v>126</v>
      </c>
      <c r="B127" t="s">
        <v>849</v>
      </c>
      <c r="C127" s="4">
        <v>45793</v>
      </c>
      <c r="D127" s="2">
        <v>45807</v>
      </c>
      <c r="E127" s="2">
        <v>45808</v>
      </c>
      <c r="F127" t="s">
        <v>43</v>
      </c>
      <c r="G127" t="s">
        <v>133</v>
      </c>
      <c r="H127" t="s">
        <v>619</v>
      </c>
      <c r="I127" t="s">
        <v>208</v>
      </c>
      <c r="J127" t="s">
        <v>721</v>
      </c>
      <c r="K127" t="s">
        <v>372</v>
      </c>
      <c r="M127" t="s">
        <v>527</v>
      </c>
      <c r="N127" t="s">
        <v>570</v>
      </c>
      <c r="O127" t="str">
        <f t="shared" si="6"/>
        <v>S</v>
      </c>
      <c r="P127" t="str">
        <f t="shared" si="7"/>
        <v>28/05/2025</v>
      </c>
      <c r="Q127">
        <v>1</v>
      </c>
    </row>
    <row r="128" spans="1:17" ht="16.5" x14ac:dyDescent="0.25">
      <c r="A128">
        <v>127</v>
      </c>
      <c r="B128" t="s">
        <v>849</v>
      </c>
      <c r="C128" s="4">
        <v>45804</v>
      </c>
      <c r="D128" s="2">
        <v>45810</v>
      </c>
      <c r="E128" s="2">
        <v>45811</v>
      </c>
      <c r="F128" t="s">
        <v>16</v>
      </c>
      <c r="G128" t="s">
        <v>134</v>
      </c>
      <c r="H128" t="s">
        <v>620</v>
      </c>
      <c r="I128" t="s">
        <v>250</v>
      </c>
      <c r="J128" t="s">
        <v>722</v>
      </c>
      <c r="K128" t="s">
        <v>373</v>
      </c>
      <c r="M128" t="s">
        <v>528</v>
      </c>
      <c r="N128" t="s">
        <v>572</v>
      </c>
      <c r="O128" t="str">
        <f t="shared" si="6"/>
        <v>S</v>
      </c>
      <c r="P128" t="str">
        <f t="shared" si="7"/>
        <v>02/06/2025</v>
      </c>
      <c r="Q128">
        <v>1</v>
      </c>
    </row>
    <row r="129" spans="1:17" ht="16.5" x14ac:dyDescent="0.25">
      <c r="A129">
        <v>128</v>
      </c>
      <c r="B129" t="s">
        <v>849</v>
      </c>
      <c r="C129" s="4">
        <v>45804</v>
      </c>
      <c r="D129" s="2">
        <v>45810</v>
      </c>
      <c r="E129" s="2">
        <v>45811</v>
      </c>
      <c r="F129" t="s">
        <v>16</v>
      </c>
      <c r="G129" t="s">
        <v>134</v>
      </c>
      <c r="H129" t="s">
        <v>620</v>
      </c>
      <c r="I129" t="s">
        <v>208</v>
      </c>
      <c r="J129" t="s">
        <v>722</v>
      </c>
      <c r="K129" t="s">
        <v>373</v>
      </c>
      <c r="M129" t="s">
        <v>528</v>
      </c>
      <c r="N129" t="s">
        <v>572</v>
      </c>
      <c r="O129" t="str">
        <f t="shared" si="6"/>
        <v>S</v>
      </c>
      <c r="P129" t="str">
        <f t="shared" si="7"/>
        <v>02/06/2025</v>
      </c>
      <c r="Q129">
        <v>1</v>
      </c>
    </row>
    <row r="130" spans="1:17" ht="16.5" x14ac:dyDescent="0.25">
      <c r="A130">
        <v>129</v>
      </c>
      <c r="B130" t="s">
        <v>0</v>
      </c>
      <c r="C130" s="4">
        <v>45797</v>
      </c>
      <c r="D130" s="2">
        <v>45811</v>
      </c>
      <c r="E130" s="2">
        <v>45812</v>
      </c>
      <c r="F130" t="s">
        <v>44</v>
      </c>
      <c r="G130" t="s">
        <v>135</v>
      </c>
      <c r="H130" t="s">
        <v>621</v>
      </c>
      <c r="I130" t="s">
        <v>251</v>
      </c>
      <c r="J130" t="s">
        <v>723</v>
      </c>
      <c r="K130" t="s">
        <v>374</v>
      </c>
      <c r="M130" t="s">
        <v>529</v>
      </c>
      <c r="N130" t="s">
        <v>565</v>
      </c>
      <c r="O130" t="str">
        <f t="shared" ref="O130:O161" si="8">IF(OR(ISNUMBER(FIND("ENTREGUES",M130)),N130="Preto",N130="Cinza"),"S","N")</f>
        <v>S</v>
      </c>
      <c r="P130" t="str">
        <f t="shared" si="7"/>
        <v/>
      </c>
      <c r="Q130">
        <v>1</v>
      </c>
    </row>
    <row r="131" spans="1:17" ht="16.5" x14ac:dyDescent="0.25">
      <c r="A131">
        <v>130</v>
      </c>
      <c r="B131" t="s">
        <v>0</v>
      </c>
      <c r="C131" s="4">
        <v>45797</v>
      </c>
      <c r="D131" s="2">
        <v>45811</v>
      </c>
      <c r="E131" s="2">
        <v>45812</v>
      </c>
      <c r="F131" t="s">
        <v>44</v>
      </c>
      <c r="G131" t="s">
        <v>135</v>
      </c>
      <c r="H131" t="s">
        <v>621</v>
      </c>
      <c r="I131" t="s">
        <v>203</v>
      </c>
      <c r="J131" t="s">
        <v>723</v>
      </c>
      <c r="K131" t="s">
        <v>374</v>
      </c>
      <c r="M131" t="s">
        <v>530</v>
      </c>
      <c r="N131" t="s">
        <v>565</v>
      </c>
      <c r="O131" t="str">
        <f t="shared" si="8"/>
        <v>S</v>
      </c>
      <c r="P131" t="str">
        <f t="shared" si="7"/>
        <v/>
      </c>
      <c r="Q131">
        <v>1</v>
      </c>
    </row>
    <row r="132" spans="1:17" ht="16.5" x14ac:dyDescent="0.25">
      <c r="A132">
        <v>131</v>
      </c>
      <c r="B132" t="s">
        <v>849</v>
      </c>
      <c r="C132" s="4">
        <v>45806</v>
      </c>
      <c r="D132" s="2">
        <v>45812</v>
      </c>
      <c r="E132" s="2">
        <v>45814</v>
      </c>
      <c r="F132" t="s">
        <v>3</v>
      </c>
      <c r="G132" t="s">
        <v>136</v>
      </c>
      <c r="H132" t="s">
        <v>622</v>
      </c>
      <c r="I132" t="s">
        <v>252</v>
      </c>
      <c r="J132" t="s">
        <v>724</v>
      </c>
      <c r="K132" t="s">
        <v>375</v>
      </c>
      <c r="M132" t="s">
        <v>528</v>
      </c>
      <c r="N132" t="s">
        <v>567</v>
      </c>
      <c r="O132" t="str">
        <f t="shared" si="8"/>
        <v>S</v>
      </c>
      <c r="P132" t="str">
        <f t="shared" si="7"/>
        <v>02/06/2025</v>
      </c>
      <c r="Q132">
        <v>1</v>
      </c>
    </row>
    <row r="133" spans="1:17" ht="16.5" x14ac:dyDescent="0.25">
      <c r="A133">
        <v>132</v>
      </c>
      <c r="B133" t="s">
        <v>849</v>
      </c>
      <c r="C133" s="4">
        <v>45806</v>
      </c>
      <c r="D133" s="2">
        <v>45812</v>
      </c>
      <c r="E133" s="2">
        <v>45814</v>
      </c>
      <c r="F133" t="s">
        <v>3</v>
      </c>
      <c r="G133" t="s">
        <v>136</v>
      </c>
      <c r="H133" t="s">
        <v>622</v>
      </c>
      <c r="I133" t="s">
        <v>208</v>
      </c>
      <c r="J133" t="s">
        <v>724</v>
      </c>
      <c r="K133" t="s">
        <v>375</v>
      </c>
      <c r="M133" t="s">
        <v>528</v>
      </c>
      <c r="N133" t="s">
        <v>567</v>
      </c>
      <c r="O133" t="str">
        <f t="shared" si="8"/>
        <v>S</v>
      </c>
      <c r="P133" t="str">
        <f t="shared" si="7"/>
        <v>02/06/2025</v>
      </c>
      <c r="Q133">
        <v>1</v>
      </c>
    </row>
    <row r="134" spans="1:17" ht="16.5" x14ac:dyDescent="0.25">
      <c r="A134">
        <v>133</v>
      </c>
      <c r="B134" t="s">
        <v>0</v>
      </c>
      <c r="C134" s="4">
        <v>45797</v>
      </c>
      <c r="D134" s="2">
        <v>45813</v>
      </c>
      <c r="E134" s="2">
        <v>45813</v>
      </c>
      <c r="F134" t="s">
        <v>45</v>
      </c>
      <c r="G134" t="s">
        <v>135</v>
      </c>
      <c r="H134" t="s">
        <v>621</v>
      </c>
      <c r="I134" t="s">
        <v>251</v>
      </c>
      <c r="J134" t="s">
        <v>723</v>
      </c>
      <c r="K134" t="s">
        <v>376</v>
      </c>
      <c r="M134" t="s">
        <v>531</v>
      </c>
      <c r="N134" t="s">
        <v>565</v>
      </c>
      <c r="O134" t="str">
        <f t="shared" si="8"/>
        <v>S</v>
      </c>
      <c r="P134" t="str">
        <f t="shared" si="7"/>
        <v/>
      </c>
      <c r="Q134">
        <v>1</v>
      </c>
    </row>
    <row r="135" spans="1:17" ht="16.5" x14ac:dyDescent="0.25">
      <c r="A135">
        <v>134</v>
      </c>
      <c r="B135" t="s">
        <v>0</v>
      </c>
      <c r="C135" s="4">
        <v>45797</v>
      </c>
      <c r="D135" s="2">
        <v>45813</v>
      </c>
      <c r="E135" s="2">
        <v>45813</v>
      </c>
      <c r="F135" t="s">
        <v>45</v>
      </c>
      <c r="G135" t="s">
        <v>135</v>
      </c>
      <c r="H135" t="s">
        <v>621</v>
      </c>
      <c r="I135" t="s">
        <v>203</v>
      </c>
      <c r="J135" t="s">
        <v>723</v>
      </c>
      <c r="K135" t="s">
        <v>376</v>
      </c>
      <c r="M135" t="s">
        <v>530</v>
      </c>
      <c r="N135" t="s">
        <v>565</v>
      </c>
      <c r="O135" t="str">
        <f t="shared" si="8"/>
        <v>S</v>
      </c>
      <c r="P135" t="str">
        <f t="shared" si="7"/>
        <v/>
      </c>
      <c r="Q135">
        <v>1</v>
      </c>
    </row>
    <row r="136" spans="1:17" ht="16.5" x14ac:dyDescent="0.25">
      <c r="A136">
        <v>135</v>
      </c>
      <c r="B136" t="s">
        <v>849</v>
      </c>
      <c r="C136" s="4">
        <v>45728</v>
      </c>
      <c r="D136" s="2">
        <v>45815</v>
      </c>
      <c r="E136" s="2">
        <v>45816</v>
      </c>
      <c r="F136" t="s">
        <v>22</v>
      </c>
      <c r="G136" t="s">
        <v>105</v>
      </c>
      <c r="H136" t="s">
        <v>596</v>
      </c>
      <c r="I136" t="s">
        <v>221</v>
      </c>
      <c r="J136" t="s">
        <v>694</v>
      </c>
      <c r="K136" t="s">
        <v>377</v>
      </c>
      <c r="M136" t="s">
        <v>527</v>
      </c>
      <c r="N136" t="s">
        <v>564</v>
      </c>
      <c r="O136" t="str">
        <f t="shared" si="8"/>
        <v>S</v>
      </c>
      <c r="P136" t="str">
        <f t="shared" si="7"/>
        <v>28/05/2025</v>
      </c>
      <c r="Q136">
        <v>1</v>
      </c>
    </row>
    <row r="137" spans="1:17" ht="16.5" x14ac:dyDescent="0.25">
      <c r="A137">
        <v>136</v>
      </c>
      <c r="B137" t="s">
        <v>849</v>
      </c>
      <c r="C137" s="4">
        <v>45728</v>
      </c>
      <c r="D137" s="2">
        <v>45815</v>
      </c>
      <c r="E137" s="2">
        <v>45816</v>
      </c>
      <c r="F137" t="s">
        <v>22</v>
      </c>
      <c r="G137" t="s">
        <v>105</v>
      </c>
      <c r="H137" t="s">
        <v>596</v>
      </c>
      <c r="I137" t="s">
        <v>203</v>
      </c>
      <c r="J137" t="s">
        <v>694</v>
      </c>
      <c r="K137" t="s">
        <v>377</v>
      </c>
      <c r="M137" t="s">
        <v>527</v>
      </c>
      <c r="N137" t="s">
        <v>564</v>
      </c>
      <c r="O137" t="str">
        <f t="shared" si="8"/>
        <v>S</v>
      </c>
      <c r="P137" t="str">
        <f t="shared" si="7"/>
        <v>28/05/2025</v>
      </c>
      <c r="Q137">
        <v>1</v>
      </c>
    </row>
    <row r="138" spans="1:17" ht="16.5" x14ac:dyDescent="0.25">
      <c r="A138">
        <v>137</v>
      </c>
      <c r="B138" t="s">
        <v>849</v>
      </c>
      <c r="C138" s="4">
        <v>45790</v>
      </c>
      <c r="D138" s="2">
        <v>45818</v>
      </c>
      <c r="E138" s="2">
        <v>45819</v>
      </c>
      <c r="F138" t="s">
        <v>46</v>
      </c>
      <c r="G138" t="s">
        <v>137</v>
      </c>
      <c r="H138" t="s">
        <v>623</v>
      </c>
      <c r="I138" t="s">
        <v>253</v>
      </c>
      <c r="J138" t="s">
        <v>725</v>
      </c>
      <c r="K138" t="s">
        <v>378</v>
      </c>
      <c r="M138" t="s">
        <v>532</v>
      </c>
      <c r="N138" t="s">
        <v>570</v>
      </c>
      <c r="O138" t="str">
        <f t="shared" si="8"/>
        <v>S</v>
      </c>
      <c r="P138" t="str">
        <f t="shared" si="7"/>
        <v>10/06/2025</v>
      </c>
      <c r="Q138">
        <v>1</v>
      </c>
    </row>
    <row r="139" spans="1:17" ht="16.5" x14ac:dyDescent="0.25">
      <c r="A139">
        <v>138</v>
      </c>
      <c r="B139" t="s">
        <v>849</v>
      </c>
      <c r="C139" s="4">
        <v>45790</v>
      </c>
      <c r="D139" s="2">
        <v>45818</v>
      </c>
      <c r="E139" s="2">
        <v>45819</v>
      </c>
      <c r="F139" t="s">
        <v>46</v>
      </c>
      <c r="G139" t="s">
        <v>137</v>
      </c>
      <c r="H139" t="s">
        <v>623</v>
      </c>
      <c r="I139" t="s">
        <v>208</v>
      </c>
      <c r="J139" t="s">
        <v>725</v>
      </c>
      <c r="K139" t="s">
        <v>378</v>
      </c>
      <c r="M139" t="s">
        <v>532</v>
      </c>
      <c r="N139" t="s">
        <v>570</v>
      </c>
      <c r="O139" t="str">
        <f t="shared" si="8"/>
        <v>S</v>
      </c>
      <c r="P139" t="str">
        <f t="shared" si="7"/>
        <v>10/06/2025</v>
      </c>
      <c r="Q139">
        <v>1</v>
      </c>
    </row>
    <row r="140" spans="1:17" ht="16.5" x14ac:dyDescent="0.25">
      <c r="A140">
        <v>139</v>
      </c>
      <c r="B140" t="s">
        <v>849</v>
      </c>
      <c r="C140" s="4">
        <v>45694</v>
      </c>
      <c r="D140" s="2">
        <v>45820</v>
      </c>
      <c r="E140" s="2">
        <v>45821</v>
      </c>
      <c r="F140" t="s">
        <v>47</v>
      </c>
      <c r="G140" t="s">
        <v>138</v>
      </c>
      <c r="H140" t="s">
        <v>624</v>
      </c>
      <c r="I140" t="s">
        <v>254</v>
      </c>
      <c r="J140" t="s">
        <v>726</v>
      </c>
      <c r="K140" t="s">
        <v>379</v>
      </c>
      <c r="M140" t="s">
        <v>532</v>
      </c>
      <c r="N140" t="s">
        <v>569</v>
      </c>
      <c r="O140" t="str">
        <f t="shared" si="8"/>
        <v>S</v>
      </c>
      <c r="P140" t="str">
        <f t="shared" si="7"/>
        <v>10/06/2025</v>
      </c>
      <c r="Q140">
        <v>1</v>
      </c>
    </row>
    <row r="141" spans="1:17" ht="16.5" x14ac:dyDescent="0.25">
      <c r="A141">
        <v>140</v>
      </c>
      <c r="B141" t="s">
        <v>849</v>
      </c>
      <c r="C141" s="4">
        <v>45694</v>
      </c>
      <c r="D141" s="2">
        <v>45820</v>
      </c>
      <c r="E141" s="2">
        <v>45821</v>
      </c>
      <c r="F141" t="s">
        <v>47</v>
      </c>
      <c r="G141" t="s">
        <v>138</v>
      </c>
      <c r="H141" t="s">
        <v>624</v>
      </c>
      <c r="I141" t="s">
        <v>203</v>
      </c>
      <c r="J141" t="s">
        <v>726</v>
      </c>
      <c r="K141" t="s">
        <v>379</v>
      </c>
      <c r="M141" t="s">
        <v>532</v>
      </c>
      <c r="N141" t="s">
        <v>569</v>
      </c>
      <c r="O141" t="str">
        <f t="shared" si="8"/>
        <v>S</v>
      </c>
      <c r="P141" t="str">
        <f t="shared" ref="P141:P172" si="9">IF(N141="Preto", "", MID(M141, FIND("em ", M141) + 3, 10))</f>
        <v>10/06/2025</v>
      </c>
      <c r="Q141">
        <v>1</v>
      </c>
    </row>
    <row r="142" spans="1:17" ht="16.5" x14ac:dyDescent="0.25">
      <c r="A142">
        <v>141</v>
      </c>
      <c r="B142" t="s">
        <v>0</v>
      </c>
      <c r="C142" s="4">
        <v>45777</v>
      </c>
      <c r="D142" s="2">
        <v>45821</v>
      </c>
      <c r="E142" s="2">
        <v>45821</v>
      </c>
      <c r="F142" t="s">
        <v>48</v>
      </c>
      <c r="G142" t="s">
        <v>139</v>
      </c>
      <c r="H142" t="s">
        <v>625</v>
      </c>
      <c r="I142" t="s">
        <v>255</v>
      </c>
      <c r="J142" t="s">
        <v>726</v>
      </c>
      <c r="K142" t="s">
        <v>380</v>
      </c>
      <c r="M142" t="s">
        <v>533</v>
      </c>
      <c r="N142" t="s">
        <v>565</v>
      </c>
      <c r="O142" t="str">
        <f t="shared" si="8"/>
        <v>S</v>
      </c>
      <c r="P142" t="str">
        <f t="shared" si="9"/>
        <v/>
      </c>
      <c r="Q142">
        <v>1</v>
      </c>
    </row>
    <row r="143" spans="1:17" ht="16.5" x14ac:dyDescent="0.25">
      <c r="A143">
        <v>142</v>
      </c>
      <c r="B143" t="s">
        <v>0</v>
      </c>
      <c r="C143" s="4">
        <v>45777</v>
      </c>
      <c r="D143" s="2">
        <v>45821</v>
      </c>
      <c r="E143" s="2">
        <v>45821</v>
      </c>
      <c r="F143" t="s">
        <v>48</v>
      </c>
      <c r="G143" t="s">
        <v>139</v>
      </c>
      <c r="H143" t="s">
        <v>625</v>
      </c>
      <c r="I143" t="s">
        <v>255</v>
      </c>
      <c r="J143" t="s">
        <v>726</v>
      </c>
      <c r="K143" t="s">
        <v>380</v>
      </c>
      <c r="M143" t="s">
        <v>533</v>
      </c>
      <c r="N143" t="s">
        <v>565</v>
      </c>
      <c r="O143" t="str">
        <f t="shared" si="8"/>
        <v>S</v>
      </c>
      <c r="P143" t="str">
        <f t="shared" si="9"/>
        <v/>
      </c>
      <c r="Q143">
        <v>1</v>
      </c>
    </row>
    <row r="144" spans="1:17" ht="16.5" x14ac:dyDescent="0.25">
      <c r="A144">
        <v>143</v>
      </c>
      <c r="B144" t="s">
        <v>849</v>
      </c>
      <c r="C144" s="4">
        <v>45728</v>
      </c>
      <c r="D144" s="2">
        <v>45822</v>
      </c>
      <c r="E144" s="2">
        <v>45823</v>
      </c>
      <c r="F144" t="s">
        <v>22</v>
      </c>
      <c r="G144" t="s">
        <v>105</v>
      </c>
      <c r="H144" t="s">
        <v>596</v>
      </c>
      <c r="I144" t="s">
        <v>221</v>
      </c>
      <c r="J144" t="s">
        <v>694</v>
      </c>
      <c r="K144" t="s">
        <v>381</v>
      </c>
      <c r="M144" t="s">
        <v>534</v>
      </c>
      <c r="N144" t="s">
        <v>570</v>
      </c>
      <c r="O144" t="str">
        <f t="shared" si="8"/>
        <v>S</v>
      </c>
      <c r="P144" t="str">
        <f t="shared" si="9"/>
        <v>13/06/2025</v>
      </c>
      <c r="Q144">
        <v>1</v>
      </c>
    </row>
    <row r="145" spans="1:17" ht="16.5" x14ac:dyDescent="0.25">
      <c r="A145">
        <v>144</v>
      </c>
      <c r="B145" t="s">
        <v>849</v>
      </c>
      <c r="C145" s="4">
        <v>45728</v>
      </c>
      <c r="D145" s="2">
        <v>45822</v>
      </c>
      <c r="E145" s="2">
        <v>45823</v>
      </c>
      <c r="F145" t="s">
        <v>22</v>
      </c>
      <c r="G145" t="s">
        <v>105</v>
      </c>
      <c r="H145" t="s">
        <v>596</v>
      </c>
      <c r="I145" t="s">
        <v>203</v>
      </c>
      <c r="J145" t="s">
        <v>694</v>
      </c>
      <c r="K145" t="s">
        <v>381</v>
      </c>
      <c r="M145" t="s">
        <v>534</v>
      </c>
      <c r="N145" t="s">
        <v>570</v>
      </c>
      <c r="O145" t="str">
        <f t="shared" si="8"/>
        <v>S</v>
      </c>
      <c r="P145" t="str">
        <f t="shared" si="9"/>
        <v>13/06/2025</v>
      </c>
      <c r="Q145">
        <v>1</v>
      </c>
    </row>
    <row r="146" spans="1:17" ht="16.5" x14ac:dyDescent="0.25">
      <c r="A146">
        <v>145</v>
      </c>
      <c r="B146" t="s">
        <v>1</v>
      </c>
      <c r="C146" s="4">
        <v>45693</v>
      </c>
      <c r="D146" s="2">
        <v>45824</v>
      </c>
      <c r="E146" s="2">
        <v>45825</v>
      </c>
      <c r="F146" t="s">
        <v>13</v>
      </c>
      <c r="G146" t="s">
        <v>90</v>
      </c>
      <c r="H146" t="s">
        <v>583</v>
      </c>
      <c r="I146" t="s">
        <v>206</v>
      </c>
      <c r="J146" t="s">
        <v>681</v>
      </c>
      <c r="K146" t="s">
        <v>382</v>
      </c>
      <c r="M146" t="s">
        <v>535</v>
      </c>
      <c r="N146" t="s">
        <v>567</v>
      </c>
      <c r="O146" t="str">
        <f t="shared" si="8"/>
        <v>S</v>
      </c>
      <c r="P146" t="str">
        <f t="shared" si="9"/>
        <v>13/06/2026</v>
      </c>
      <c r="Q146">
        <v>1</v>
      </c>
    </row>
    <row r="147" spans="1:17" ht="16.5" x14ac:dyDescent="0.25">
      <c r="A147">
        <v>146</v>
      </c>
      <c r="B147" t="s">
        <v>2</v>
      </c>
      <c r="C147" s="4">
        <v>45693</v>
      </c>
      <c r="D147" s="2">
        <v>45824</v>
      </c>
      <c r="E147" s="2">
        <v>45825</v>
      </c>
      <c r="F147" t="s">
        <v>13</v>
      </c>
      <c r="G147" t="s">
        <v>90</v>
      </c>
      <c r="H147" t="s">
        <v>583</v>
      </c>
      <c r="I147" t="s">
        <v>203</v>
      </c>
      <c r="J147" t="s">
        <v>681</v>
      </c>
      <c r="K147" t="s">
        <v>382</v>
      </c>
      <c r="M147" t="s">
        <v>535</v>
      </c>
      <c r="N147" t="s">
        <v>570</v>
      </c>
      <c r="O147" t="str">
        <f t="shared" si="8"/>
        <v>S</v>
      </c>
      <c r="P147" t="str">
        <f t="shared" si="9"/>
        <v>13/06/2026</v>
      </c>
      <c r="Q147">
        <v>1</v>
      </c>
    </row>
    <row r="148" spans="1:17" ht="16.5" x14ac:dyDescent="0.25">
      <c r="A148">
        <v>147</v>
      </c>
      <c r="B148" t="s">
        <v>849</v>
      </c>
      <c r="C148" s="4">
        <v>45693</v>
      </c>
      <c r="D148" s="2">
        <v>45826</v>
      </c>
      <c r="E148" s="2">
        <v>45827</v>
      </c>
      <c r="F148" t="s">
        <v>13</v>
      </c>
      <c r="G148" t="s">
        <v>90</v>
      </c>
      <c r="H148" t="s">
        <v>583</v>
      </c>
      <c r="I148" t="s">
        <v>206</v>
      </c>
      <c r="J148" t="s">
        <v>681</v>
      </c>
      <c r="K148" t="s">
        <v>383</v>
      </c>
      <c r="M148" t="s">
        <v>535</v>
      </c>
      <c r="N148" t="s">
        <v>566</v>
      </c>
      <c r="O148" t="str">
        <f t="shared" si="8"/>
        <v>S</v>
      </c>
      <c r="P148" t="str">
        <f t="shared" si="9"/>
        <v>13/06/2026</v>
      </c>
      <c r="Q148">
        <v>1</v>
      </c>
    </row>
    <row r="149" spans="1:17" ht="16.5" x14ac:dyDescent="0.25">
      <c r="A149">
        <v>148</v>
      </c>
      <c r="B149" t="s">
        <v>849</v>
      </c>
      <c r="C149" s="4">
        <v>45693</v>
      </c>
      <c r="D149" s="2">
        <v>45826</v>
      </c>
      <c r="E149" s="2">
        <v>45827</v>
      </c>
      <c r="F149" t="s">
        <v>13</v>
      </c>
      <c r="G149" t="s">
        <v>90</v>
      </c>
      <c r="H149" t="s">
        <v>583</v>
      </c>
      <c r="I149" t="s">
        <v>203</v>
      </c>
      <c r="J149" t="s">
        <v>681</v>
      </c>
      <c r="K149" t="s">
        <v>383</v>
      </c>
      <c r="M149" t="s">
        <v>535</v>
      </c>
      <c r="N149" t="s">
        <v>566</v>
      </c>
      <c r="O149" t="str">
        <f t="shared" si="8"/>
        <v>S</v>
      </c>
      <c r="P149" t="str">
        <f t="shared" si="9"/>
        <v>13/06/2026</v>
      </c>
      <c r="Q149">
        <v>1</v>
      </c>
    </row>
    <row r="150" spans="1:17" ht="16.5" x14ac:dyDescent="0.25">
      <c r="A150">
        <v>149</v>
      </c>
      <c r="B150" t="s">
        <v>849</v>
      </c>
      <c r="C150" s="4">
        <v>45803</v>
      </c>
      <c r="D150" s="2">
        <v>45826</v>
      </c>
      <c r="E150" s="2">
        <v>45827</v>
      </c>
      <c r="F150" t="s">
        <v>18</v>
      </c>
      <c r="G150" t="s">
        <v>140</v>
      </c>
      <c r="H150" t="s">
        <v>626</v>
      </c>
      <c r="I150" t="s">
        <v>256</v>
      </c>
      <c r="J150" t="s">
        <v>727</v>
      </c>
      <c r="K150" t="s">
        <v>384</v>
      </c>
      <c r="M150" t="s">
        <v>535</v>
      </c>
      <c r="N150" t="s">
        <v>566</v>
      </c>
      <c r="O150" t="str">
        <f t="shared" si="8"/>
        <v>S</v>
      </c>
      <c r="P150" t="str">
        <f t="shared" si="9"/>
        <v>13/06/2026</v>
      </c>
      <c r="Q150">
        <v>1</v>
      </c>
    </row>
    <row r="151" spans="1:17" ht="16.5" x14ac:dyDescent="0.25">
      <c r="A151">
        <v>150</v>
      </c>
      <c r="B151" t="s">
        <v>849</v>
      </c>
      <c r="C151" s="4">
        <v>45803</v>
      </c>
      <c r="D151" s="2">
        <v>45826</v>
      </c>
      <c r="E151" s="2">
        <v>45827</v>
      </c>
      <c r="F151" t="s">
        <v>18</v>
      </c>
      <c r="G151" t="s">
        <v>140</v>
      </c>
      <c r="H151" t="s">
        <v>626</v>
      </c>
      <c r="I151" t="s">
        <v>203</v>
      </c>
      <c r="J151" t="s">
        <v>727</v>
      </c>
      <c r="K151" t="s">
        <v>384</v>
      </c>
      <c r="M151" t="s">
        <v>535</v>
      </c>
      <c r="N151" t="s">
        <v>566</v>
      </c>
      <c r="O151" t="str">
        <f t="shared" si="8"/>
        <v>S</v>
      </c>
      <c r="P151" t="str">
        <f t="shared" si="9"/>
        <v>13/06/2026</v>
      </c>
      <c r="Q151">
        <v>1</v>
      </c>
    </row>
    <row r="152" spans="1:17" ht="16.5" x14ac:dyDescent="0.25">
      <c r="A152">
        <v>151</v>
      </c>
      <c r="B152" t="s">
        <v>849</v>
      </c>
      <c r="C152" s="4">
        <v>45819</v>
      </c>
      <c r="D152" s="2">
        <v>45828</v>
      </c>
      <c r="E152" s="2">
        <v>45829</v>
      </c>
      <c r="F152" t="s">
        <v>16</v>
      </c>
      <c r="G152" t="s">
        <v>141</v>
      </c>
      <c r="H152" t="s">
        <v>627</v>
      </c>
      <c r="I152" t="s">
        <v>257</v>
      </c>
      <c r="J152" t="s">
        <v>728</v>
      </c>
      <c r="K152" t="s">
        <v>373</v>
      </c>
      <c r="M152" t="s">
        <v>536</v>
      </c>
      <c r="N152" t="s">
        <v>572</v>
      </c>
      <c r="O152" t="str">
        <f t="shared" si="8"/>
        <v>S</v>
      </c>
      <c r="P152" t="str">
        <f t="shared" si="9"/>
        <v>18/06/2026</v>
      </c>
      <c r="Q152">
        <v>1</v>
      </c>
    </row>
    <row r="153" spans="1:17" ht="16.5" x14ac:dyDescent="0.25">
      <c r="A153">
        <v>152</v>
      </c>
      <c r="B153" t="s">
        <v>849</v>
      </c>
      <c r="C153" s="4">
        <v>45819</v>
      </c>
      <c r="D153" s="2">
        <v>45828</v>
      </c>
      <c r="E153" s="2">
        <v>45829</v>
      </c>
      <c r="F153" t="s">
        <v>16</v>
      </c>
      <c r="G153" t="s">
        <v>141</v>
      </c>
      <c r="H153" t="s">
        <v>627</v>
      </c>
      <c r="I153" t="s">
        <v>208</v>
      </c>
      <c r="J153" t="s">
        <v>728</v>
      </c>
      <c r="K153" t="s">
        <v>373</v>
      </c>
      <c r="M153" t="s">
        <v>536</v>
      </c>
      <c r="N153" t="s">
        <v>572</v>
      </c>
      <c r="O153" t="str">
        <f t="shared" si="8"/>
        <v>S</v>
      </c>
      <c r="P153" t="str">
        <f t="shared" si="9"/>
        <v>18/06/2026</v>
      </c>
      <c r="Q153">
        <v>1</v>
      </c>
    </row>
    <row r="154" spans="1:17" ht="16.5" x14ac:dyDescent="0.25">
      <c r="A154">
        <v>153</v>
      </c>
      <c r="B154" t="s">
        <v>849</v>
      </c>
      <c r="C154" s="4">
        <v>45692</v>
      </c>
      <c r="D154" s="2">
        <v>45831</v>
      </c>
      <c r="E154" s="2">
        <v>45831</v>
      </c>
      <c r="F154" t="s">
        <v>11</v>
      </c>
      <c r="G154" t="s">
        <v>106</v>
      </c>
      <c r="H154" t="s">
        <v>597</v>
      </c>
      <c r="I154" t="s">
        <v>223</v>
      </c>
      <c r="J154" t="s">
        <v>696</v>
      </c>
      <c r="K154" t="s">
        <v>385</v>
      </c>
      <c r="M154" t="s">
        <v>537</v>
      </c>
      <c r="N154" t="s">
        <v>567</v>
      </c>
      <c r="O154" t="str">
        <f t="shared" si="8"/>
        <v>S</v>
      </c>
      <c r="P154" t="str">
        <f t="shared" si="9"/>
        <v>18/06/2027</v>
      </c>
      <c r="Q154">
        <v>1</v>
      </c>
    </row>
    <row r="155" spans="1:17" ht="16.5" x14ac:dyDescent="0.25">
      <c r="A155">
        <v>154</v>
      </c>
      <c r="B155" t="s">
        <v>849</v>
      </c>
      <c r="C155" s="4">
        <v>45692</v>
      </c>
      <c r="D155" s="2">
        <v>45831</v>
      </c>
      <c r="E155" s="2">
        <v>45831</v>
      </c>
      <c r="F155" t="s">
        <v>11</v>
      </c>
      <c r="G155" t="s">
        <v>106</v>
      </c>
      <c r="H155" t="s">
        <v>597</v>
      </c>
      <c r="I155" t="s">
        <v>208</v>
      </c>
      <c r="J155" t="s">
        <v>696</v>
      </c>
      <c r="K155" t="s">
        <v>385</v>
      </c>
      <c r="M155" t="s">
        <v>537</v>
      </c>
      <c r="N155" t="s">
        <v>567</v>
      </c>
      <c r="O155" t="str">
        <f t="shared" si="8"/>
        <v>S</v>
      </c>
      <c r="P155" t="str">
        <f t="shared" si="9"/>
        <v>18/06/2027</v>
      </c>
      <c r="Q155">
        <v>1</v>
      </c>
    </row>
    <row r="156" spans="1:17" ht="16.5" x14ac:dyDescent="0.25">
      <c r="A156">
        <v>155</v>
      </c>
      <c r="B156" t="s">
        <v>0</v>
      </c>
      <c r="C156" s="4">
        <v>45806</v>
      </c>
      <c r="D156" s="2">
        <v>45832</v>
      </c>
      <c r="E156" s="2">
        <v>45832</v>
      </c>
      <c r="F156" t="s">
        <v>49</v>
      </c>
      <c r="G156" t="s">
        <v>142</v>
      </c>
      <c r="H156" t="s">
        <v>628</v>
      </c>
      <c r="I156" t="s">
        <v>258</v>
      </c>
      <c r="J156" t="s">
        <v>729</v>
      </c>
      <c r="K156" t="s">
        <v>386</v>
      </c>
      <c r="M156" t="s">
        <v>577</v>
      </c>
      <c r="N156" t="s">
        <v>565</v>
      </c>
      <c r="O156" t="str">
        <f t="shared" si="8"/>
        <v>S</v>
      </c>
      <c r="P156" t="str">
        <f t="shared" si="9"/>
        <v/>
      </c>
      <c r="Q156">
        <v>1</v>
      </c>
    </row>
    <row r="157" spans="1:17" ht="16.5" x14ac:dyDescent="0.25">
      <c r="A157">
        <v>156</v>
      </c>
      <c r="B157" t="s">
        <v>0</v>
      </c>
      <c r="C157" s="4">
        <v>45806</v>
      </c>
      <c r="D157" s="2">
        <v>45832</v>
      </c>
      <c r="E157" s="2">
        <v>45832</v>
      </c>
      <c r="F157" t="s">
        <v>49</v>
      </c>
      <c r="G157" t="s">
        <v>142</v>
      </c>
      <c r="H157" t="s">
        <v>628</v>
      </c>
      <c r="I157" t="s">
        <v>203</v>
      </c>
      <c r="J157" t="s">
        <v>729</v>
      </c>
      <c r="K157" t="s">
        <v>386</v>
      </c>
      <c r="M157" t="s">
        <v>577</v>
      </c>
      <c r="N157" t="s">
        <v>565</v>
      </c>
      <c r="O157" t="str">
        <f t="shared" si="8"/>
        <v>S</v>
      </c>
      <c r="P157" t="str">
        <f t="shared" si="9"/>
        <v/>
      </c>
      <c r="Q157">
        <v>1</v>
      </c>
    </row>
    <row r="158" spans="1:17" ht="16.5" x14ac:dyDescent="0.25">
      <c r="A158">
        <v>157</v>
      </c>
      <c r="B158" t="s">
        <v>0</v>
      </c>
      <c r="C158" s="4">
        <v>45798</v>
      </c>
      <c r="D158" s="2">
        <v>45835</v>
      </c>
      <c r="E158" s="2">
        <v>45836</v>
      </c>
      <c r="F158" t="s">
        <v>50</v>
      </c>
      <c r="G158" t="s">
        <v>135</v>
      </c>
      <c r="H158" t="s">
        <v>621</v>
      </c>
      <c r="I158" t="s">
        <v>251</v>
      </c>
      <c r="J158" t="s">
        <v>723</v>
      </c>
      <c r="K158" t="s">
        <v>387</v>
      </c>
      <c r="M158" t="s">
        <v>577</v>
      </c>
      <c r="N158" t="s">
        <v>565</v>
      </c>
      <c r="O158" t="str">
        <f t="shared" si="8"/>
        <v>S</v>
      </c>
      <c r="P158" t="str">
        <f t="shared" si="9"/>
        <v/>
      </c>
      <c r="Q158">
        <v>1</v>
      </c>
    </row>
    <row r="159" spans="1:17" ht="16.5" x14ac:dyDescent="0.25">
      <c r="A159">
        <v>158</v>
      </c>
      <c r="B159" t="s">
        <v>0</v>
      </c>
      <c r="C159" s="4">
        <v>45798</v>
      </c>
      <c r="D159" s="2">
        <v>45835</v>
      </c>
      <c r="E159" s="2">
        <v>45836</v>
      </c>
      <c r="F159" t="s">
        <v>50</v>
      </c>
      <c r="G159" t="s">
        <v>135</v>
      </c>
      <c r="H159" t="s">
        <v>621</v>
      </c>
      <c r="I159" t="s">
        <v>203</v>
      </c>
      <c r="J159" t="s">
        <v>723</v>
      </c>
      <c r="K159" t="s">
        <v>387</v>
      </c>
      <c r="M159" t="s">
        <v>577</v>
      </c>
      <c r="N159" t="s">
        <v>565</v>
      </c>
      <c r="O159" t="str">
        <f t="shared" si="8"/>
        <v>S</v>
      </c>
      <c r="P159" t="str">
        <f t="shared" si="9"/>
        <v/>
      </c>
      <c r="Q159">
        <v>1</v>
      </c>
    </row>
    <row r="160" spans="1:17" ht="16.5" x14ac:dyDescent="0.25">
      <c r="A160">
        <v>159</v>
      </c>
      <c r="B160" t="s">
        <v>849</v>
      </c>
      <c r="C160" s="4">
        <v>45802</v>
      </c>
      <c r="D160" s="2">
        <v>45836</v>
      </c>
      <c r="E160" s="2">
        <v>45837</v>
      </c>
      <c r="F160" t="s">
        <v>18</v>
      </c>
      <c r="G160" t="s">
        <v>143</v>
      </c>
      <c r="H160" t="s">
        <v>621</v>
      </c>
      <c r="I160" t="s">
        <v>259</v>
      </c>
      <c r="J160" t="s">
        <v>730</v>
      </c>
      <c r="K160" t="s">
        <v>388</v>
      </c>
      <c r="M160" t="s">
        <v>538</v>
      </c>
      <c r="N160" t="s">
        <v>566</v>
      </c>
      <c r="O160" t="str">
        <f t="shared" si="8"/>
        <v>S</v>
      </c>
      <c r="P160" t="str">
        <f t="shared" si="9"/>
        <v>27/06/2025</v>
      </c>
      <c r="Q160">
        <v>1</v>
      </c>
    </row>
    <row r="161" spans="1:17" ht="16.5" x14ac:dyDescent="0.25">
      <c r="A161">
        <v>160</v>
      </c>
      <c r="B161" t="s">
        <v>849</v>
      </c>
      <c r="C161" s="4">
        <v>45802</v>
      </c>
      <c r="D161" s="2">
        <v>45836</v>
      </c>
      <c r="E161" s="2">
        <v>45837</v>
      </c>
      <c r="F161" t="s">
        <v>18</v>
      </c>
      <c r="G161" t="s">
        <v>143</v>
      </c>
      <c r="H161" t="s">
        <v>621</v>
      </c>
      <c r="I161" t="s">
        <v>203</v>
      </c>
      <c r="J161" t="s">
        <v>730</v>
      </c>
      <c r="K161" t="s">
        <v>388</v>
      </c>
      <c r="M161" t="s">
        <v>538</v>
      </c>
      <c r="N161" t="s">
        <v>566</v>
      </c>
      <c r="O161" t="str">
        <f t="shared" si="8"/>
        <v>S</v>
      </c>
      <c r="P161" t="str">
        <f t="shared" si="9"/>
        <v>27/06/2025</v>
      </c>
      <c r="Q161">
        <v>1</v>
      </c>
    </row>
    <row r="162" spans="1:17" ht="16.5" x14ac:dyDescent="0.25">
      <c r="A162">
        <v>161</v>
      </c>
      <c r="B162" t="s">
        <v>0</v>
      </c>
      <c r="C162" s="4">
        <v>45832</v>
      </c>
      <c r="D162" s="2">
        <v>45839</v>
      </c>
      <c r="E162" s="2">
        <v>45839</v>
      </c>
      <c r="F162" t="s">
        <v>51</v>
      </c>
      <c r="G162" t="s">
        <v>144</v>
      </c>
      <c r="H162" t="s">
        <v>629</v>
      </c>
      <c r="I162" t="s">
        <v>255</v>
      </c>
      <c r="J162" t="s">
        <v>730</v>
      </c>
      <c r="K162" t="s">
        <v>389</v>
      </c>
      <c r="M162" t="s">
        <v>538</v>
      </c>
      <c r="N162" t="s">
        <v>565</v>
      </c>
      <c r="O162" t="str">
        <f t="shared" ref="O162:O193" si="10">IF(OR(ISNUMBER(FIND("ENTREGUES",M162)),N162="Preto",N162="Cinza"),"S","N")</f>
        <v>S</v>
      </c>
      <c r="P162" t="str">
        <f t="shared" si="9"/>
        <v/>
      </c>
      <c r="Q162">
        <v>1</v>
      </c>
    </row>
    <row r="163" spans="1:17" ht="16.5" x14ac:dyDescent="0.25">
      <c r="A163">
        <v>162</v>
      </c>
      <c r="B163" t="s">
        <v>0</v>
      </c>
      <c r="C163" s="4">
        <v>45832</v>
      </c>
      <c r="D163" s="2">
        <v>45839</v>
      </c>
      <c r="E163" s="2">
        <v>45839</v>
      </c>
      <c r="F163" t="s">
        <v>51</v>
      </c>
      <c r="G163" t="s">
        <v>144</v>
      </c>
      <c r="H163" t="s">
        <v>629</v>
      </c>
      <c r="I163" t="s">
        <v>255</v>
      </c>
      <c r="J163" t="s">
        <v>730</v>
      </c>
      <c r="K163" t="s">
        <v>389</v>
      </c>
      <c r="M163" t="s">
        <v>538</v>
      </c>
      <c r="N163" t="s">
        <v>565</v>
      </c>
      <c r="O163" t="str">
        <f t="shared" si="10"/>
        <v>S</v>
      </c>
      <c r="P163" t="str">
        <f t="shared" si="9"/>
        <v/>
      </c>
      <c r="Q163">
        <v>1</v>
      </c>
    </row>
    <row r="164" spans="1:17" ht="16.5" x14ac:dyDescent="0.25">
      <c r="A164">
        <v>163</v>
      </c>
      <c r="B164" t="s">
        <v>1</v>
      </c>
      <c r="C164" s="4">
        <v>45838</v>
      </c>
      <c r="D164" s="2">
        <v>45840</v>
      </c>
      <c r="E164" s="2">
        <v>45842</v>
      </c>
      <c r="F164" t="s">
        <v>16</v>
      </c>
      <c r="G164" t="s">
        <v>145</v>
      </c>
      <c r="H164" t="s">
        <v>630</v>
      </c>
      <c r="I164" t="s">
        <v>260</v>
      </c>
      <c r="J164" t="s">
        <v>731</v>
      </c>
      <c r="K164" t="s">
        <v>390</v>
      </c>
      <c r="M164" t="s">
        <v>539</v>
      </c>
      <c r="N164" t="s">
        <v>570</v>
      </c>
      <c r="O164" t="str">
        <f t="shared" si="10"/>
        <v>S</v>
      </c>
      <c r="P164" t="str">
        <f t="shared" si="9"/>
        <v>02/07/2025</v>
      </c>
      <c r="Q164">
        <v>1</v>
      </c>
    </row>
    <row r="165" spans="1:17" ht="16.5" x14ac:dyDescent="0.25">
      <c r="A165">
        <v>164</v>
      </c>
      <c r="B165" t="s">
        <v>2</v>
      </c>
      <c r="C165" s="4">
        <v>45838</v>
      </c>
      <c r="D165" s="2">
        <v>45840</v>
      </c>
      <c r="E165" s="2">
        <v>45842</v>
      </c>
      <c r="F165" t="s">
        <v>16</v>
      </c>
      <c r="G165" t="s">
        <v>145</v>
      </c>
      <c r="H165" t="s">
        <v>630</v>
      </c>
      <c r="I165" t="s">
        <v>203</v>
      </c>
      <c r="J165" t="s">
        <v>731</v>
      </c>
      <c r="K165" t="s">
        <v>390</v>
      </c>
      <c r="M165" t="s">
        <v>539</v>
      </c>
      <c r="N165" t="s">
        <v>567</v>
      </c>
      <c r="O165" t="str">
        <f t="shared" si="10"/>
        <v>S</v>
      </c>
      <c r="P165" t="str">
        <f t="shared" si="9"/>
        <v>02/07/2025</v>
      </c>
      <c r="Q165">
        <v>1</v>
      </c>
    </row>
    <row r="166" spans="1:17" ht="16.5" x14ac:dyDescent="0.25">
      <c r="A166">
        <v>165</v>
      </c>
      <c r="B166" t="s">
        <v>849</v>
      </c>
      <c r="C166" s="4">
        <v>45839</v>
      </c>
      <c r="D166" s="2">
        <v>45845</v>
      </c>
      <c r="E166" s="2">
        <v>45846</v>
      </c>
      <c r="F166" t="s">
        <v>52</v>
      </c>
      <c r="G166" t="s">
        <v>146</v>
      </c>
      <c r="H166" t="s">
        <v>631</v>
      </c>
      <c r="I166" t="s">
        <v>261</v>
      </c>
      <c r="J166" t="s">
        <v>732</v>
      </c>
      <c r="K166" t="s">
        <v>391</v>
      </c>
      <c r="M166" t="s">
        <v>540</v>
      </c>
      <c r="N166" t="s">
        <v>567</v>
      </c>
      <c r="O166" t="str">
        <f t="shared" si="10"/>
        <v>S</v>
      </c>
      <c r="P166" t="str">
        <f t="shared" si="9"/>
        <v>07/07/2025</v>
      </c>
      <c r="Q166">
        <v>1</v>
      </c>
    </row>
    <row r="167" spans="1:17" ht="16.5" x14ac:dyDescent="0.25">
      <c r="A167">
        <v>166</v>
      </c>
      <c r="B167" t="s">
        <v>849</v>
      </c>
      <c r="C167" s="4">
        <v>45839</v>
      </c>
      <c r="D167" s="2">
        <v>45845</v>
      </c>
      <c r="E167" s="2">
        <v>45846</v>
      </c>
      <c r="F167" t="s">
        <v>52</v>
      </c>
      <c r="G167" t="s">
        <v>146</v>
      </c>
      <c r="H167" t="s">
        <v>631</v>
      </c>
      <c r="I167" t="s">
        <v>203</v>
      </c>
      <c r="J167" t="s">
        <v>732</v>
      </c>
      <c r="K167" t="s">
        <v>391</v>
      </c>
      <c r="M167" t="s">
        <v>540</v>
      </c>
      <c r="N167" t="s">
        <v>567</v>
      </c>
      <c r="O167" t="str">
        <f t="shared" si="10"/>
        <v>S</v>
      </c>
      <c r="P167" t="str">
        <f t="shared" si="9"/>
        <v>07/07/2025</v>
      </c>
      <c r="Q167">
        <v>1</v>
      </c>
    </row>
    <row r="168" spans="1:17" ht="16.5" x14ac:dyDescent="0.25">
      <c r="A168">
        <v>167</v>
      </c>
      <c r="B168" t="s">
        <v>0</v>
      </c>
      <c r="C168" s="4">
        <v>45840</v>
      </c>
      <c r="D168" s="2">
        <v>45847</v>
      </c>
      <c r="E168" s="2">
        <v>45847</v>
      </c>
      <c r="F168" t="s">
        <v>53</v>
      </c>
      <c r="G168" t="s">
        <v>147</v>
      </c>
      <c r="H168" t="s">
        <v>632</v>
      </c>
      <c r="I168" t="s">
        <v>262</v>
      </c>
      <c r="J168" t="s">
        <v>733</v>
      </c>
      <c r="K168" t="s">
        <v>392</v>
      </c>
      <c r="M168" t="s">
        <v>541</v>
      </c>
      <c r="N168" t="s">
        <v>565</v>
      </c>
      <c r="O168" t="str">
        <f t="shared" si="10"/>
        <v>S</v>
      </c>
      <c r="P168" t="str">
        <f t="shared" si="9"/>
        <v/>
      </c>
      <c r="Q168">
        <v>1</v>
      </c>
    </row>
    <row r="169" spans="1:17" ht="16.5" x14ac:dyDescent="0.25">
      <c r="A169">
        <v>168</v>
      </c>
      <c r="B169" t="s">
        <v>0</v>
      </c>
      <c r="C169" s="4">
        <v>45840</v>
      </c>
      <c r="D169" s="2">
        <v>45847</v>
      </c>
      <c r="E169" s="2">
        <v>45847</v>
      </c>
      <c r="F169" t="s">
        <v>53</v>
      </c>
      <c r="G169" t="s">
        <v>147</v>
      </c>
      <c r="H169" t="s">
        <v>632</v>
      </c>
      <c r="I169" t="s">
        <v>208</v>
      </c>
      <c r="J169" t="s">
        <v>733</v>
      </c>
      <c r="K169" t="s">
        <v>392</v>
      </c>
      <c r="M169" t="s">
        <v>541</v>
      </c>
      <c r="N169" t="s">
        <v>565</v>
      </c>
      <c r="O169" t="str">
        <f t="shared" si="10"/>
        <v>S</v>
      </c>
      <c r="P169" t="str">
        <f t="shared" si="9"/>
        <v/>
      </c>
      <c r="Q169">
        <v>1</v>
      </c>
    </row>
    <row r="170" spans="1:17" ht="16.5" x14ac:dyDescent="0.25">
      <c r="A170">
        <v>169</v>
      </c>
      <c r="B170" t="s">
        <v>849</v>
      </c>
      <c r="C170" s="4">
        <v>45728</v>
      </c>
      <c r="D170" s="2">
        <v>45852</v>
      </c>
      <c r="E170" s="2">
        <v>45855</v>
      </c>
      <c r="F170" t="s">
        <v>22</v>
      </c>
      <c r="G170" t="s">
        <v>105</v>
      </c>
      <c r="H170" t="s">
        <v>596</v>
      </c>
      <c r="I170" t="s">
        <v>221</v>
      </c>
      <c r="J170" t="s">
        <v>694</v>
      </c>
      <c r="K170" t="s">
        <v>393</v>
      </c>
      <c r="M170" t="s">
        <v>542</v>
      </c>
      <c r="N170" t="s">
        <v>572</v>
      </c>
      <c r="O170" t="str">
        <f t="shared" si="10"/>
        <v>S</v>
      </c>
      <c r="P170" t="str">
        <f t="shared" si="9"/>
        <v>14/07/2025</v>
      </c>
      <c r="Q170">
        <v>1</v>
      </c>
    </row>
    <row r="171" spans="1:17" ht="16.5" x14ac:dyDescent="0.25">
      <c r="A171">
        <v>170</v>
      </c>
      <c r="B171" t="s">
        <v>849</v>
      </c>
      <c r="C171" s="4">
        <v>45728</v>
      </c>
      <c r="D171" s="2">
        <v>45852</v>
      </c>
      <c r="E171" s="2">
        <v>45855</v>
      </c>
      <c r="F171" t="s">
        <v>22</v>
      </c>
      <c r="G171" t="s">
        <v>105</v>
      </c>
      <c r="H171" t="s">
        <v>596</v>
      </c>
      <c r="I171" t="s">
        <v>203</v>
      </c>
      <c r="J171" t="s">
        <v>694</v>
      </c>
      <c r="K171" t="s">
        <v>393</v>
      </c>
      <c r="M171" t="s">
        <v>542</v>
      </c>
      <c r="N171" t="s">
        <v>572</v>
      </c>
      <c r="O171" t="str">
        <f t="shared" si="10"/>
        <v>S</v>
      </c>
      <c r="P171" t="str">
        <f t="shared" si="9"/>
        <v>14/07/2025</v>
      </c>
      <c r="Q171">
        <v>1</v>
      </c>
    </row>
    <row r="172" spans="1:17" ht="16.5" x14ac:dyDescent="0.25">
      <c r="A172">
        <v>171</v>
      </c>
      <c r="B172" t="s">
        <v>849</v>
      </c>
      <c r="C172" s="4">
        <v>45847</v>
      </c>
      <c r="D172" s="2">
        <v>45860</v>
      </c>
      <c r="E172" s="2">
        <v>45861</v>
      </c>
      <c r="F172" t="s">
        <v>54</v>
      </c>
      <c r="G172" t="s">
        <v>148</v>
      </c>
      <c r="H172" t="s">
        <v>633</v>
      </c>
      <c r="I172" t="s">
        <v>263</v>
      </c>
      <c r="J172" t="s">
        <v>734</v>
      </c>
      <c r="K172" t="s">
        <v>394</v>
      </c>
      <c r="M172" t="s">
        <v>543</v>
      </c>
      <c r="N172" t="s">
        <v>566</v>
      </c>
      <c r="O172" t="str">
        <f t="shared" si="10"/>
        <v>S</v>
      </c>
      <c r="P172" t="str">
        <f t="shared" si="9"/>
        <v>18/07/2025</v>
      </c>
      <c r="Q172">
        <v>1</v>
      </c>
    </row>
    <row r="173" spans="1:17" ht="16.5" x14ac:dyDescent="0.25">
      <c r="A173">
        <v>172</v>
      </c>
      <c r="B173" t="s">
        <v>849</v>
      </c>
      <c r="C173" s="4">
        <v>45847</v>
      </c>
      <c r="D173" s="2">
        <v>45860</v>
      </c>
      <c r="E173" s="2">
        <v>45861</v>
      </c>
      <c r="F173" t="s">
        <v>54</v>
      </c>
      <c r="G173" t="s">
        <v>148</v>
      </c>
      <c r="H173" t="s">
        <v>633</v>
      </c>
      <c r="I173" t="s">
        <v>203</v>
      </c>
      <c r="J173" t="s">
        <v>734</v>
      </c>
      <c r="K173" t="s">
        <v>394</v>
      </c>
      <c r="M173" t="s">
        <v>543</v>
      </c>
      <c r="N173" t="s">
        <v>566</v>
      </c>
      <c r="O173" t="str">
        <f t="shared" si="10"/>
        <v>S</v>
      </c>
      <c r="P173" t="str">
        <f t="shared" ref="P173:P201" si="11">IF(N173="Preto", "", MID(M173, FIND("em ", M173) + 3, 10))</f>
        <v>18/07/2025</v>
      </c>
      <c r="Q173">
        <v>1</v>
      </c>
    </row>
    <row r="174" spans="1:17" ht="16.5" x14ac:dyDescent="0.25">
      <c r="A174">
        <v>173</v>
      </c>
      <c r="B174" t="s">
        <v>849</v>
      </c>
      <c r="C174" s="4">
        <v>45855</v>
      </c>
      <c r="D174" s="2">
        <v>45860</v>
      </c>
      <c r="E174" s="2">
        <v>45861</v>
      </c>
      <c r="F174" t="s">
        <v>55</v>
      </c>
      <c r="G174" t="s">
        <v>149</v>
      </c>
      <c r="H174" t="s">
        <v>634</v>
      </c>
      <c r="I174" t="s">
        <v>264</v>
      </c>
      <c r="J174" t="s">
        <v>735</v>
      </c>
      <c r="K174" t="s">
        <v>394</v>
      </c>
      <c r="M174" t="s">
        <v>543</v>
      </c>
      <c r="N174" t="s">
        <v>566</v>
      </c>
      <c r="O174" t="str">
        <f t="shared" si="10"/>
        <v>S</v>
      </c>
      <c r="P174" t="str">
        <f t="shared" si="11"/>
        <v>18/07/2025</v>
      </c>
      <c r="Q174">
        <v>1</v>
      </c>
    </row>
    <row r="175" spans="1:17" ht="16.5" x14ac:dyDescent="0.25">
      <c r="A175">
        <v>174</v>
      </c>
      <c r="B175" t="s">
        <v>849</v>
      </c>
      <c r="C175" s="4">
        <v>45855</v>
      </c>
      <c r="D175" s="2">
        <v>45860</v>
      </c>
      <c r="E175" s="2">
        <v>45861</v>
      </c>
      <c r="F175" t="s">
        <v>55</v>
      </c>
      <c r="G175" t="s">
        <v>149</v>
      </c>
      <c r="H175" t="s">
        <v>634</v>
      </c>
      <c r="I175" t="s">
        <v>203</v>
      </c>
      <c r="J175" t="s">
        <v>735</v>
      </c>
      <c r="K175" t="s">
        <v>394</v>
      </c>
      <c r="M175" t="s">
        <v>543</v>
      </c>
      <c r="N175" t="s">
        <v>566</v>
      </c>
      <c r="O175" t="str">
        <f t="shared" si="10"/>
        <v>S</v>
      </c>
      <c r="P175" t="str">
        <f t="shared" si="11"/>
        <v>18/07/2025</v>
      </c>
      <c r="Q175">
        <v>1</v>
      </c>
    </row>
    <row r="176" spans="1:17" ht="16.5" x14ac:dyDescent="0.25">
      <c r="A176">
        <v>175</v>
      </c>
      <c r="B176" t="s">
        <v>849</v>
      </c>
      <c r="C176" s="4">
        <v>45847</v>
      </c>
      <c r="D176" s="2">
        <v>45862</v>
      </c>
      <c r="E176" s="2">
        <v>45862</v>
      </c>
      <c r="F176" t="s">
        <v>56</v>
      </c>
      <c r="G176" t="s">
        <v>150</v>
      </c>
      <c r="H176" t="s">
        <v>635</v>
      </c>
      <c r="I176" t="s">
        <v>265</v>
      </c>
      <c r="J176" t="s">
        <v>736</v>
      </c>
      <c r="K176" t="s">
        <v>395</v>
      </c>
      <c r="M176" t="s">
        <v>543</v>
      </c>
      <c r="N176" t="s">
        <v>566</v>
      </c>
      <c r="O176" t="str">
        <f t="shared" si="10"/>
        <v>S</v>
      </c>
      <c r="P176" t="str">
        <f t="shared" si="11"/>
        <v>18/07/2025</v>
      </c>
      <c r="Q176">
        <v>1</v>
      </c>
    </row>
    <row r="177" spans="1:17" ht="16.5" x14ac:dyDescent="0.25">
      <c r="A177">
        <v>176</v>
      </c>
      <c r="B177" t="s">
        <v>849</v>
      </c>
      <c r="C177" s="4">
        <v>45847</v>
      </c>
      <c r="D177" s="2">
        <v>45862</v>
      </c>
      <c r="E177" s="2">
        <v>45862</v>
      </c>
      <c r="F177" t="s">
        <v>56</v>
      </c>
      <c r="G177" t="s">
        <v>150</v>
      </c>
      <c r="H177" t="s">
        <v>635</v>
      </c>
      <c r="I177" t="s">
        <v>208</v>
      </c>
      <c r="J177" t="s">
        <v>736</v>
      </c>
      <c r="K177" t="s">
        <v>395</v>
      </c>
      <c r="M177" t="s">
        <v>543</v>
      </c>
      <c r="N177" t="s">
        <v>566</v>
      </c>
      <c r="O177" t="str">
        <f t="shared" si="10"/>
        <v>S</v>
      </c>
      <c r="P177" t="str">
        <f t="shared" si="11"/>
        <v>18/07/2025</v>
      </c>
      <c r="Q177">
        <v>1</v>
      </c>
    </row>
    <row r="178" spans="1:17" ht="16.5" x14ac:dyDescent="0.25">
      <c r="A178">
        <v>177</v>
      </c>
      <c r="B178" t="s">
        <v>849</v>
      </c>
      <c r="C178" s="4">
        <v>45728</v>
      </c>
      <c r="D178" s="2">
        <v>45866</v>
      </c>
      <c r="E178" s="2">
        <v>45867</v>
      </c>
      <c r="F178" t="s">
        <v>22</v>
      </c>
      <c r="G178" t="s">
        <v>105</v>
      </c>
      <c r="H178" t="s">
        <v>596</v>
      </c>
      <c r="I178" t="s">
        <v>221</v>
      </c>
      <c r="J178" t="s">
        <v>694</v>
      </c>
      <c r="K178" t="s">
        <v>396</v>
      </c>
      <c r="M178" t="s">
        <v>543</v>
      </c>
      <c r="N178" t="s">
        <v>568</v>
      </c>
      <c r="O178" t="str">
        <f t="shared" si="10"/>
        <v>S</v>
      </c>
      <c r="P178" t="str">
        <f t="shared" si="11"/>
        <v>18/07/2025</v>
      </c>
      <c r="Q178">
        <v>1</v>
      </c>
    </row>
    <row r="179" spans="1:17" ht="16.5" x14ac:dyDescent="0.25">
      <c r="A179">
        <v>178</v>
      </c>
      <c r="B179" t="s">
        <v>849</v>
      </c>
      <c r="C179" s="4">
        <v>45728</v>
      </c>
      <c r="D179" s="2">
        <v>45866</v>
      </c>
      <c r="E179" s="2">
        <v>45867</v>
      </c>
      <c r="F179" t="s">
        <v>22</v>
      </c>
      <c r="G179" t="s">
        <v>105</v>
      </c>
      <c r="H179" t="s">
        <v>596</v>
      </c>
      <c r="I179" t="s">
        <v>203</v>
      </c>
      <c r="J179" t="s">
        <v>694</v>
      </c>
      <c r="K179" t="s">
        <v>396</v>
      </c>
      <c r="M179" t="s">
        <v>543</v>
      </c>
      <c r="N179" t="s">
        <v>568</v>
      </c>
      <c r="O179" t="str">
        <f t="shared" si="10"/>
        <v>S</v>
      </c>
      <c r="P179" t="str">
        <f t="shared" si="11"/>
        <v>18/07/2025</v>
      </c>
      <c r="Q179">
        <v>1</v>
      </c>
    </row>
    <row r="180" spans="1:17" ht="16.5" x14ac:dyDescent="0.25">
      <c r="A180">
        <v>179</v>
      </c>
      <c r="B180" t="s">
        <v>849</v>
      </c>
      <c r="C180" s="4">
        <v>45804</v>
      </c>
      <c r="D180" s="2">
        <v>45869</v>
      </c>
      <c r="E180" s="2">
        <v>45870</v>
      </c>
      <c r="F180" t="s">
        <v>27</v>
      </c>
      <c r="G180" t="s">
        <v>151</v>
      </c>
      <c r="H180" t="s">
        <v>636</v>
      </c>
      <c r="I180" t="s">
        <v>266</v>
      </c>
      <c r="J180" t="s">
        <v>737</v>
      </c>
      <c r="K180" t="s">
        <v>397</v>
      </c>
      <c r="M180" t="s">
        <v>543</v>
      </c>
      <c r="N180" t="s">
        <v>572</v>
      </c>
      <c r="O180" t="str">
        <f t="shared" si="10"/>
        <v>S</v>
      </c>
      <c r="P180" t="str">
        <f t="shared" si="11"/>
        <v>18/07/2025</v>
      </c>
      <c r="Q180">
        <v>1</v>
      </c>
    </row>
    <row r="181" spans="1:17" ht="16.5" x14ac:dyDescent="0.25">
      <c r="A181">
        <v>180</v>
      </c>
      <c r="B181" t="s">
        <v>849</v>
      </c>
      <c r="C181" s="4">
        <v>45804</v>
      </c>
      <c r="D181" s="2">
        <v>45869</v>
      </c>
      <c r="E181" s="2">
        <v>45870</v>
      </c>
      <c r="F181" t="s">
        <v>27</v>
      </c>
      <c r="G181" t="s">
        <v>151</v>
      </c>
      <c r="H181" t="s">
        <v>636</v>
      </c>
      <c r="I181" t="s">
        <v>203</v>
      </c>
      <c r="J181" t="s">
        <v>737</v>
      </c>
      <c r="K181" t="s">
        <v>397</v>
      </c>
      <c r="M181" t="s">
        <v>543</v>
      </c>
      <c r="N181" t="s">
        <v>572</v>
      </c>
      <c r="O181" t="str">
        <f t="shared" si="10"/>
        <v>S</v>
      </c>
      <c r="P181" t="str">
        <f t="shared" si="11"/>
        <v>18/07/2025</v>
      </c>
      <c r="Q181">
        <v>1</v>
      </c>
    </row>
    <row r="182" spans="1:17" ht="16.5" x14ac:dyDescent="0.25">
      <c r="A182">
        <v>181</v>
      </c>
      <c r="B182" t="s">
        <v>849</v>
      </c>
      <c r="C182" s="4">
        <v>45652</v>
      </c>
      <c r="D182" s="2">
        <v>45871</v>
      </c>
      <c r="E182" s="2">
        <v>45874</v>
      </c>
      <c r="F182" t="s">
        <v>6</v>
      </c>
      <c r="G182" t="s">
        <v>88</v>
      </c>
      <c r="H182" t="s">
        <v>581</v>
      </c>
      <c r="I182" t="s">
        <v>204</v>
      </c>
      <c r="J182" t="s">
        <v>679</v>
      </c>
      <c r="K182" t="s">
        <v>398</v>
      </c>
      <c r="L182" t="s">
        <v>498</v>
      </c>
      <c r="M182" t="s">
        <v>544</v>
      </c>
      <c r="N182" t="s">
        <v>568</v>
      </c>
      <c r="O182" t="str">
        <f t="shared" si="10"/>
        <v>S</v>
      </c>
      <c r="P182" t="str">
        <f t="shared" si="11"/>
        <v>18/07/2025</v>
      </c>
      <c r="Q182">
        <v>1</v>
      </c>
    </row>
    <row r="183" spans="1:17" ht="16.5" x14ac:dyDescent="0.25">
      <c r="A183">
        <v>182</v>
      </c>
      <c r="B183" t="s">
        <v>849</v>
      </c>
      <c r="C183" s="4">
        <v>45652</v>
      </c>
      <c r="D183" s="2">
        <v>45871</v>
      </c>
      <c r="E183" s="2">
        <v>45874</v>
      </c>
      <c r="F183" t="s">
        <v>6</v>
      </c>
      <c r="G183" t="s">
        <v>88</v>
      </c>
      <c r="H183" t="s">
        <v>581</v>
      </c>
      <c r="I183" t="s">
        <v>203</v>
      </c>
      <c r="J183" t="s">
        <v>679</v>
      </c>
      <c r="K183" t="s">
        <v>398</v>
      </c>
      <c r="L183" t="s">
        <v>498</v>
      </c>
      <c r="M183" t="s">
        <v>544</v>
      </c>
      <c r="N183" t="s">
        <v>568</v>
      </c>
      <c r="O183" t="str">
        <f t="shared" si="10"/>
        <v>S</v>
      </c>
      <c r="P183" t="str">
        <f t="shared" si="11"/>
        <v>18/07/2025</v>
      </c>
      <c r="Q183">
        <v>1</v>
      </c>
    </row>
    <row r="184" spans="1:17" ht="16.5" x14ac:dyDescent="0.25">
      <c r="A184">
        <v>183</v>
      </c>
      <c r="B184" t="s">
        <v>849</v>
      </c>
      <c r="C184" s="4">
        <v>45692</v>
      </c>
      <c r="D184" s="2">
        <v>45871</v>
      </c>
      <c r="E184" s="2">
        <v>45874</v>
      </c>
      <c r="F184" t="s">
        <v>32</v>
      </c>
      <c r="G184" t="s">
        <v>120</v>
      </c>
      <c r="H184" t="s">
        <v>610</v>
      </c>
      <c r="I184" t="s">
        <v>235</v>
      </c>
      <c r="J184" t="s">
        <v>708</v>
      </c>
      <c r="K184" t="s">
        <v>399</v>
      </c>
      <c r="L184" t="s">
        <v>498</v>
      </c>
      <c r="M184" t="s">
        <v>544</v>
      </c>
      <c r="N184" t="s">
        <v>568</v>
      </c>
      <c r="O184" t="str">
        <f t="shared" si="10"/>
        <v>S</v>
      </c>
      <c r="P184" t="str">
        <f t="shared" si="11"/>
        <v>18/07/2025</v>
      </c>
      <c r="Q184">
        <v>1</v>
      </c>
    </row>
    <row r="185" spans="1:17" ht="16.5" x14ac:dyDescent="0.25">
      <c r="A185">
        <v>184</v>
      </c>
      <c r="B185" t="s">
        <v>849</v>
      </c>
      <c r="C185" s="4">
        <v>45692</v>
      </c>
      <c r="D185" s="2">
        <v>45871</v>
      </c>
      <c r="E185" s="2">
        <v>45874</v>
      </c>
      <c r="F185" t="s">
        <v>32</v>
      </c>
      <c r="G185" t="s">
        <v>120</v>
      </c>
      <c r="H185" t="s">
        <v>610</v>
      </c>
      <c r="I185" t="s">
        <v>203</v>
      </c>
      <c r="J185" t="s">
        <v>708</v>
      </c>
      <c r="K185" t="s">
        <v>399</v>
      </c>
      <c r="L185" t="s">
        <v>498</v>
      </c>
      <c r="M185" t="s">
        <v>544</v>
      </c>
      <c r="N185" t="s">
        <v>568</v>
      </c>
      <c r="O185" t="str">
        <f t="shared" si="10"/>
        <v>S</v>
      </c>
      <c r="P185" t="str">
        <f t="shared" si="11"/>
        <v>18/07/2025</v>
      </c>
      <c r="Q185">
        <v>1</v>
      </c>
    </row>
    <row r="186" spans="1:17" ht="16.5" x14ac:dyDescent="0.25">
      <c r="A186">
        <v>185</v>
      </c>
      <c r="B186" t="s">
        <v>849</v>
      </c>
      <c r="C186" s="4">
        <v>45859</v>
      </c>
      <c r="D186" s="2">
        <v>45871</v>
      </c>
      <c r="E186" s="2">
        <v>45874</v>
      </c>
      <c r="F186" t="s">
        <v>40</v>
      </c>
      <c r="G186" t="s">
        <v>152</v>
      </c>
      <c r="H186" t="s">
        <v>637</v>
      </c>
      <c r="I186" t="s">
        <v>267</v>
      </c>
      <c r="J186" t="s">
        <v>738</v>
      </c>
      <c r="K186" t="s">
        <v>400</v>
      </c>
      <c r="L186" t="s">
        <v>498</v>
      </c>
      <c r="M186" t="s">
        <v>544</v>
      </c>
      <c r="N186" t="s">
        <v>568</v>
      </c>
      <c r="O186" t="str">
        <f t="shared" si="10"/>
        <v>S</v>
      </c>
      <c r="P186" t="str">
        <f t="shared" si="11"/>
        <v>18/07/2025</v>
      </c>
      <c r="Q186">
        <v>1</v>
      </c>
    </row>
    <row r="187" spans="1:17" ht="16.5" x14ac:dyDescent="0.25">
      <c r="A187">
        <v>186</v>
      </c>
      <c r="B187" t="s">
        <v>849</v>
      </c>
      <c r="C187" s="4">
        <v>45859</v>
      </c>
      <c r="D187" s="2">
        <v>45871</v>
      </c>
      <c r="E187" s="2">
        <v>45874</v>
      </c>
      <c r="F187" t="s">
        <v>40</v>
      </c>
      <c r="G187" t="s">
        <v>152</v>
      </c>
      <c r="H187" t="s">
        <v>637</v>
      </c>
      <c r="I187" t="s">
        <v>203</v>
      </c>
      <c r="J187" t="s">
        <v>738</v>
      </c>
      <c r="K187" t="s">
        <v>400</v>
      </c>
      <c r="L187" t="s">
        <v>498</v>
      </c>
      <c r="M187" t="s">
        <v>544</v>
      </c>
      <c r="N187" t="s">
        <v>568</v>
      </c>
      <c r="O187" t="str">
        <f t="shared" si="10"/>
        <v>S</v>
      </c>
      <c r="P187" t="str">
        <f t="shared" si="11"/>
        <v>18/07/2025</v>
      </c>
      <c r="Q187">
        <v>1</v>
      </c>
    </row>
    <row r="188" spans="1:17" ht="16.5" x14ac:dyDescent="0.25">
      <c r="A188">
        <v>187</v>
      </c>
      <c r="B188" t="s">
        <v>849</v>
      </c>
      <c r="C188" s="4">
        <v>45728</v>
      </c>
      <c r="D188" s="2">
        <v>45871</v>
      </c>
      <c r="E188" s="2">
        <v>45874</v>
      </c>
      <c r="F188" t="s">
        <v>22</v>
      </c>
      <c r="G188" t="s">
        <v>105</v>
      </c>
      <c r="H188" t="s">
        <v>596</v>
      </c>
      <c r="I188" t="s">
        <v>221</v>
      </c>
      <c r="J188" t="s">
        <v>694</v>
      </c>
      <c r="K188" t="s">
        <v>401</v>
      </c>
      <c r="L188" t="s">
        <v>498</v>
      </c>
      <c r="M188" t="s">
        <v>544</v>
      </c>
      <c r="N188" t="s">
        <v>568</v>
      </c>
      <c r="O188" t="str">
        <f t="shared" si="10"/>
        <v>S</v>
      </c>
      <c r="P188" t="str">
        <f t="shared" si="11"/>
        <v>18/07/2025</v>
      </c>
      <c r="Q188">
        <v>1</v>
      </c>
    </row>
    <row r="189" spans="1:17" ht="16.5" x14ac:dyDescent="0.25">
      <c r="A189">
        <v>188</v>
      </c>
      <c r="B189" t="s">
        <v>849</v>
      </c>
      <c r="C189" s="4">
        <v>45728</v>
      </c>
      <c r="D189" s="2">
        <v>45871</v>
      </c>
      <c r="E189" s="2">
        <v>45874</v>
      </c>
      <c r="F189" t="s">
        <v>22</v>
      </c>
      <c r="G189" t="s">
        <v>105</v>
      </c>
      <c r="H189" t="s">
        <v>596</v>
      </c>
      <c r="I189" t="s">
        <v>203</v>
      </c>
      <c r="J189" t="s">
        <v>694</v>
      </c>
      <c r="K189" t="s">
        <v>401</v>
      </c>
      <c r="L189" t="s">
        <v>498</v>
      </c>
      <c r="M189" t="s">
        <v>544</v>
      </c>
      <c r="N189" t="s">
        <v>568</v>
      </c>
      <c r="O189" t="str">
        <f t="shared" si="10"/>
        <v>S</v>
      </c>
      <c r="P189" t="str">
        <f t="shared" si="11"/>
        <v>18/07/2025</v>
      </c>
      <c r="Q189">
        <v>1</v>
      </c>
    </row>
    <row r="190" spans="1:17" ht="16.5" x14ac:dyDescent="0.25">
      <c r="A190">
        <v>189</v>
      </c>
      <c r="B190" t="s">
        <v>849</v>
      </c>
      <c r="C190" s="4">
        <v>45652</v>
      </c>
      <c r="D190" s="2">
        <v>45875</v>
      </c>
      <c r="E190" s="2">
        <v>45876</v>
      </c>
      <c r="F190" t="s">
        <v>57</v>
      </c>
      <c r="G190" t="s">
        <v>88</v>
      </c>
      <c r="H190" t="s">
        <v>581</v>
      </c>
      <c r="I190" t="s">
        <v>204</v>
      </c>
      <c r="J190" t="s">
        <v>679</v>
      </c>
      <c r="K190" t="s">
        <v>402</v>
      </c>
      <c r="L190" t="s">
        <v>499</v>
      </c>
      <c r="M190" t="s">
        <v>545</v>
      </c>
      <c r="N190" t="s">
        <v>574</v>
      </c>
      <c r="O190" t="str">
        <f t="shared" si="10"/>
        <v>S</v>
      </c>
      <c r="P190" t="str">
        <f t="shared" si="11"/>
        <v>05/08/2025</v>
      </c>
      <c r="Q190">
        <v>1</v>
      </c>
    </row>
    <row r="191" spans="1:17" ht="16.5" x14ac:dyDescent="0.25">
      <c r="A191">
        <v>190</v>
      </c>
      <c r="B191" t="s">
        <v>849</v>
      </c>
      <c r="C191" s="4">
        <v>45652</v>
      </c>
      <c r="D191" s="2">
        <v>45875</v>
      </c>
      <c r="E191" s="2">
        <v>45876</v>
      </c>
      <c r="F191" t="s">
        <v>57</v>
      </c>
      <c r="G191" t="s">
        <v>88</v>
      </c>
      <c r="H191" t="s">
        <v>581</v>
      </c>
      <c r="I191" t="s">
        <v>203</v>
      </c>
      <c r="J191" t="s">
        <v>679</v>
      </c>
      <c r="K191" t="s">
        <v>402</v>
      </c>
      <c r="L191" t="s">
        <v>499</v>
      </c>
      <c r="M191" t="s">
        <v>545</v>
      </c>
      <c r="N191" t="s">
        <v>574</v>
      </c>
      <c r="O191" t="str">
        <f t="shared" si="10"/>
        <v>S</v>
      </c>
      <c r="P191" t="str">
        <f t="shared" si="11"/>
        <v>05/08/2025</v>
      </c>
      <c r="Q191">
        <v>1</v>
      </c>
    </row>
    <row r="192" spans="1:17" ht="16.5" x14ac:dyDescent="0.25">
      <c r="A192">
        <v>191</v>
      </c>
      <c r="B192" t="s">
        <v>849</v>
      </c>
      <c r="C192" s="4">
        <v>45859</v>
      </c>
      <c r="D192" s="2">
        <v>45875</v>
      </c>
      <c r="E192" s="2">
        <v>45876</v>
      </c>
      <c r="F192" t="s">
        <v>40</v>
      </c>
      <c r="G192" t="s">
        <v>152</v>
      </c>
      <c r="H192" t="s">
        <v>637</v>
      </c>
      <c r="I192" t="s">
        <v>267</v>
      </c>
      <c r="J192" t="s">
        <v>738</v>
      </c>
      <c r="K192" t="s">
        <v>403</v>
      </c>
      <c r="L192" t="s">
        <v>499</v>
      </c>
      <c r="M192" t="s">
        <v>545</v>
      </c>
      <c r="N192" t="s">
        <v>574</v>
      </c>
      <c r="O192" t="str">
        <f t="shared" si="10"/>
        <v>S</v>
      </c>
      <c r="P192" t="str">
        <f t="shared" si="11"/>
        <v>05/08/2025</v>
      </c>
      <c r="Q192">
        <v>1</v>
      </c>
    </row>
    <row r="193" spans="1:17" ht="16.5" x14ac:dyDescent="0.25">
      <c r="A193">
        <v>192</v>
      </c>
      <c r="B193" t="s">
        <v>849</v>
      </c>
      <c r="C193" s="4">
        <v>45859</v>
      </c>
      <c r="D193" s="2">
        <v>45875</v>
      </c>
      <c r="E193" s="2">
        <v>45876</v>
      </c>
      <c r="F193" t="s">
        <v>40</v>
      </c>
      <c r="G193" t="s">
        <v>152</v>
      </c>
      <c r="H193" t="s">
        <v>637</v>
      </c>
      <c r="I193" t="s">
        <v>203</v>
      </c>
      <c r="J193" t="s">
        <v>738</v>
      </c>
      <c r="K193" t="s">
        <v>403</v>
      </c>
      <c r="L193" t="s">
        <v>499</v>
      </c>
      <c r="M193" t="s">
        <v>545</v>
      </c>
      <c r="N193" t="s">
        <v>574</v>
      </c>
      <c r="O193" t="str">
        <f t="shared" si="10"/>
        <v>S</v>
      </c>
      <c r="P193" t="str">
        <f t="shared" si="11"/>
        <v>05/08/2025</v>
      </c>
      <c r="Q193">
        <v>1</v>
      </c>
    </row>
    <row r="194" spans="1:17" ht="16.5" x14ac:dyDescent="0.25">
      <c r="A194">
        <v>193</v>
      </c>
      <c r="B194" t="s">
        <v>849</v>
      </c>
      <c r="C194" s="4">
        <v>45692</v>
      </c>
      <c r="D194" s="2">
        <v>45875</v>
      </c>
      <c r="E194" s="2">
        <v>45876</v>
      </c>
      <c r="F194" t="s">
        <v>11</v>
      </c>
      <c r="G194" t="s">
        <v>106</v>
      </c>
      <c r="H194" t="s">
        <v>597</v>
      </c>
      <c r="I194" t="s">
        <v>223</v>
      </c>
      <c r="J194" t="s">
        <v>696</v>
      </c>
      <c r="K194" t="s">
        <v>404</v>
      </c>
      <c r="L194" t="s">
        <v>500</v>
      </c>
      <c r="M194" t="s">
        <v>545</v>
      </c>
      <c r="N194" t="s">
        <v>574</v>
      </c>
      <c r="O194" t="str">
        <f t="shared" ref="O194:O201" si="12">IF(OR(ISNUMBER(FIND("ENTREGUES",M194)),N194="Preto",N194="Cinza"),"S","N")</f>
        <v>S</v>
      </c>
      <c r="P194" t="str">
        <f t="shared" si="11"/>
        <v>05/08/2025</v>
      </c>
      <c r="Q194">
        <v>1</v>
      </c>
    </row>
    <row r="195" spans="1:17" ht="16.5" x14ac:dyDescent="0.25">
      <c r="A195">
        <v>194</v>
      </c>
      <c r="B195" t="s">
        <v>849</v>
      </c>
      <c r="C195" s="4">
        <v>45692</v>
      </c>
      <c r="D195" s="2">
        <v>45875</v>
      </c>
      <c r="E195" s="2">
        <v>45876</v>
      </c>
      <c r="F195" t="s">
        <v>11</v>
      </c>
      <c r="G195" t="s">
        <v>106</v>
      </c>
      <c r="H195" t="s">
        <v>597</v>
      </c>
      <c r="I195" t="s">
        <v>203</v>
      </c>
      <c r="J195" t="s">
        <v>696</v>
      </c>
      <c r="K195" t="s">
        <v>404</v>
      </c>
      <c r="L195" t="s">
        <v>500</v>
      </c>
      <c r="M195" t="s">
        <v>545</v>
      </c>
      <c r="N195" t="s">
        <v>574</v>
      </c>
      <c r="O195" t="str">
        <f t="shared" si="12"/>
        <v>S</v>
      </c>
      <c r="P195" t="str">
        <f t="shared" si="11"/>
        <v>05/08/2025</v>
      </c>
      <c r="Q195">
        <v>1</v>
      </c>
    </row>
    <row r="196" spans="1:17" ht="16.5" x14ac:dyDescent="0.25">
      <c r="A196">
        <v>195</v>
      </c>
      <c r="B196" t="s">
        <v>849</v>
      </c>
      <c r="C196" s="4">
        <v>45870</v>
      </c>
      <c r="D196" s="2">
        <v>45875</v>
      </c>
      <c r="E196" s="2">
        <v>45876</v>
      </c>
      <c r="F196" t="s">
        <v>32</v>
      </c>
      <c r="G196" t="s">
        <v>153</v>
      </c>
      <c r="H196" t="s">
        <v>597</v>
      </c>
      <c r="I196" t="s">
        <v>268</v>
      </c>
      <c r="J196" t="s">
        <v>739</v>
      </c>
      <c r="K196" t="s">
        <v>405</v>
      </c>
      <c r="M196" t="s">
        <v>545</v>
      </c>
      <c r="N196" t="s">
        <v>574</v>
      </c>
      <c r="O196" t="str">
        <f t="shared" si="12"/>
        <v>S</v>
      </c>
      <c r="P196" t="str">
        <f t="shared" si="11"/>
        <v>05/08/2025</v>
      </c>
      <c r="Q196">
        <v>1</v>
      </c>
    </row>
    <row r="197" spans="1:17" ht="16.5" x14ac:dyDescent="0.25">
      <c r="A197">
        <v>196</v>
      </c>
      <c r="B197" t="s">
        <v>849</v>
      </c>
      <c r="C197" s="4">
        <v>45870</v>
      </c>
      <c r="D197" s="2">
        <v>45875</v>
      </c>
      <c r="E197" s="2">
        <v>45876</v>
      </c>
      <c r="F197" t="s">
        <v>32</v>
      </c>
      <c r="G197" t="s">
        <v>153</v>
      </c>
      <c r="H197" t="s">
        <v>597</v>
      </c>
      <c r="I197" t="s">
        <v>208</v>
      </c>
      <c r="J197" t="s">
        <v>739</v>
      </c>
      <c r="K197" t="s">
        <v>405</v>
      </c>
      <c r="M197" t="s">
        <v>545</v>
      </c>
      <c r="N197" t="s">
        <v>574</v>
      </c>
      <c r="O197" t="str">
        <f t="shared" si="12"/>
        <v>S</v>
      </c>
      <c r="P197" t="str">
        <f t="shared" si="11"/>
        <v>05/08/2025</v>
      </c>
      <c r="Q197">
        <v>1</v>
      </c>
    </row>
    <row r="198" spans="1:17" ht="16.5" x14ac:dyDescent="0.25">
      <c r="A198">
        <v>197</v>
      </c>
      <c r="B198" t="s">
        <v>849</v>
      </c>
      <c r="C198" s="4">
        <v>46238</v>
      </c>
      <c r="D198" s="2">
        <v>45875</v>
      </c>
      <c r="E198" s="2">
        <v>45876</v>
      </c>
      <c r="F198" t="s">
        <v>58</v>
      </c>
      <c r="G198" t="s">
        <v>154</v>
      </c>
      <c r="H198" t="s">
        <v>638</v>
      </c>
      <c r="I198" t="s">
        <v>269</v>
      </c>
      <c r="J198" t="s">
        <v>740</v>
      </c>
      <c r="K198" t="s">
        <v>406</v>
      </c>
      <c r="M198" t="s">
        <v>545</v>
      </c>
      <c r="N198" t="s">
        <v>574</v>
      </c>
      <c r="O198" t="str">
        <f t="shared" si="12"/>
        <v>S</v>
      </c>
      <c r="P198" t="str">
        <f t="shared" si="11"/>
        <v>05/08/2025</v>
      </c>
      <c r="Q198">
        <v>1</v>
      </c>
    </row>
    <row r="199" spans="1:17" ht="16.5" x14ac:dyDescent="0.25">
      <c r="A199">
        <v>198</v>
      </c>
      <c r="B199" t="s">
        <v>849</v>
      </c>
      <c r="C199" s="4">
        <v>46238</v>
      </c>
      <c r="D199" s="2">
        <v>45875</v>
      </c>
      <c r="E199" s="2">
        <v>45876</v>
      </c>
      <c r="F199" t="s">
        <v>58</v>
      </c>
      <c r="G199" t="s">
        <v>154</v>
      </c>
      <c r="H199" t="s">
        <v>638</v>
      </c>
      <c r="I199" t="s">
        <v>208</v>
      </c>
      <c r="J199" t="s">
        <v>740</v>
      </c>
      <c r="K199" t="s">
        <v>406</v>
      </c>
      <c r="M199" t="s">
        <v>545</v>
      </c>
      <c r="N199" t="s">
        <v>574</v>
      </c>
      <c r="O199" t="str">
        <f t="shared" si="12"/>
        <v>S</v>
      </c>
      <c r="P199" t="str">
        <f t="shared" si="11"/>
        <v>05/08/2025</v>
      </c>
      <c r="Q199">
        <v>1</v>
      </c>
    </row>
    <row r="200" spans="1:17" ht="16.5" x14ac:dyDescent="0.25">
      <c r="A200">
        <v>199</v>
      </c>
      <c r="B200" t="s">
        <v>849</v>
      </c>
      <c r="C200" s="4">
        <v>45693</v>
      </c>
      <c r="D200" s="2">
        <v>45877</v>
      </c>
      <c r="E200" s="2">
        <v>45878</v>
      </c>
      <c r="F200" t="s">
        <v>13</v>
      </c>
      <c r="G200" t="s">
        <v>90</v>
      </c>
      <c r="H200" t="s">
        <v>583</v>
      </c>
      <c r="I200" t="s">
        <v>206</v>
      </c>
      <c r="J200" t="s">
        <v>681</v>
      </c>
      <c r="K200" t="s">
        <v>407</v>
      </c>
      <c r="M200" t="s">
        <v>546</v>
      </c>
      <c r="N200" t="s">
        <v>566</v>
      </c>
      <c r="O200" t="str">
        <f t="shared" si="12"/>
        <v>S</v>
      </c>
      <c r="P200" t="str">
        <f t="shared" si="11"/>
        <v>05/08/2025</v>
      </c>
      <c r="Q200">
        <v>1</v>
      </c>
    </row>
    <row r="201" spans="1:17" ht="16.5" x14ac:dyDescent="0.25">
      <c r="A201">
        <v>200</v>
      </c>
      <c r="B201" t="s">
        <v>849</v>
      </c>
      <c r="C201" s="4">
        <v>45693</v>
      </c>
      <c r="D201" s="2">
        <v>45877</v>
      </c>
      <c r="E201" s="2">
        <v>45878</v>
      </c>
      <c r="F201" t="s">
        <v>13</v>
      </c>
      <c r="G201" t="s">
        <v>90</v>
      </c>
      <c r="H201" t="s">
        <v>583</v>
      </c>
      <c r="I201" t="s">
        <v>203</v>
      </c>
      <c r="J201" t="s">
        <v>681</v>
      </c>
      <c r="K201" t="s">
        <v>407</v>
      </c>
      <c r="M201" t="s">
        <v>546</v>
      </c>
      <c r="N201" t="s">
        <v>566</v>
      </c>
      <c r="O201" t="str">
        <f t="shared" si="12"/>
        <v>S</v>
      </c>
      <c r="P201" t="str">
        <f t="shared" si="11"/>
        <v>05/08/2025</v>
      </c>
      <c r="Q201">
        <v>1</v>
      </c>
    </row>
    <row r="202" spans="1:17" ht="16.5" x14ac:dyDescent="0.25">
      <c r="A202">
        <v>201</v>
      </c>
      <c r="B202" t="s">
        <v>849</v>
      </c>
      <c r="C202" s="4">
        <v>45854</v>
      </c>
      <c r="D202" s="2">
        <v>45882</v>
      </c>
      <c r="E202" s="2">
        <v>45882</v>
      </c>
      <c r="F202" t="s">
        <v>59</v>
      </c>
      <c r="G202" t="s">
        <v>155</v>
      </c>
      <c r="H202" t="s">
        <v>639</v>
      </c>
      <c r="I202" t="s">
        <v>255</v>
      </c>
      <c r="J202" t="s">
        <v>681</v>
      </c>
      <c r="K202" t="s">
        <v>408</v>
      </c>
      <c r="M202" t="s">
        <v>547</v>
      </c>
      <c r="N202" t="s">
        <v>575</v>
      </c>
      <c r="O202" t="s">
        <v>808</v>
      </c>
      <c r="Q202">
        <v>1</v>
      </c>
    </row>
    <row r="203" spans="1:17" ht="16.5" x14ac:dyDescent="0.25">
      <c r="A203">
        <v>202</v>
      </c>
      <c r="B203" t="s">
        <v>849</v>
      </c>
      <c r="C203" s="4">
        <v>45854</v>
      </c>
      <c r="D203" s="2">
        <v>45882</v>
      </c>
      <c r="E203" s="2">
        <v>45882</v>
      </c>
      <c r="F203" t="s">
        <v>59</v>
      </c>
      <c r="G203" t="s">
        <v>155</v>
      </c>
      <c r="H203" t="s">
        <v>639</v>
      </c>
      <c r="I203" t="s">
        <v>255</v>
      </c>
      <c r="J203" t="s">
        <v>681</v>
      </c>
      <c r="K203" t="s">
        <v>408</v>
      </c>
      <c r="M203" t="s">
        <v>547</v>
      </c>
      <c r="N203" t="s">
        <v>575</v>
      </c>
      <c r="O203" t="s">
        <v>808</v>
      </c>
      <c r="Q203">
        <v>1</v>
      </c>
    </row>
    <row r="204" spans="1:17" ht="16.5" x14ac:dyDescent="0.25">
      <c r="A204">
        <v>203</v>
      </c>
      <c r="B204" t="s">
        <v>0</v>
      </c>
      <c r="C204" s="4">
        <v>45854</v>
      </c>
      <c r="D204" s="2">
        <v>45882</v>
      </c>
      <c r="E204" s="2">
        <v>45882</v>
      </c>
      <c r="F204" t="s">
        <v>59</v>
      </c>
      <c r="G204" t="s">
        <v>155</v>
      </c>
      <c r="H204" t="s">
        <v>639</v>
      </c>
      <c r="I204" t="s">
        <v>270</v>
      </c>
      <c r="J204" t="s">
        <v>741</v>
      </c>
      <c r="K204" t="s">
        <v>409</v>
      </c>
      <c r="M204" t="s">
        <v>577</v>
      </c>
      <c r="N204" t="s">
        <v>565</v>
      </c>
      <c r="O204" t="str">
        <f t="shared" ref="O204:O235" si="13">IF(OR(ISNUMBER(FIND("ENTREGUES",M204)),N204="Preto",N204="Cinza"),"S","N")</f>
        <v>S</v>
      </c>
      <c r="P204" t="str">
        <f t="shared" ref="P204:P235" si="14">IF(N204="Preto", "", MID(M204, FIND("em ", M204) + 3, 10))</f>
        <v/>
      </c>
      <c r="Q204">
        <v>1</v>
      </c>
    </row>
    <row r="205" spans="1:17" ht="16.5" x14ac:dyDescent="0.25">
      <c r="A205">
        <v>204</v>
      </c>
      <c r="B205" t="s">
        <v>0</v>
      </c>
      <c r="C205" s="4">
        <v>45854</v>
      </c>
      <c r="D205" s="2">
        <v>45882</v>
      </c>
      <c r="E205" s="2">
        <v>45882</v>
      </c>
      <c r="F205" t="s">
        <v>59</v>
      </c>
      <c r="G205" t="s">
        <v>155</v>
      </c>
      <c r="H205" t="s">
        <v>639</v>
      </c>
      <c r="I205" t="s">
        <v>203</v>
      </c>
      <c r="J205" t="s">
        <v>741</v>
      </c>
      <c r="K205" t="s">
        <v>409</v>
      </c>
      <c r="M205" t="s">
        <v>577</v>
      </c>
      <c r="N205" t="s">
        <v>565</v>
      </c>
      <c r="O205" t="str">
        <f t="shared" si="13"/>
        <v>S</v>
      </c>
      <c r="P205" t="str">
        <f t="shared" si="14"/>
        <v/>
      </c>
      <c r="Q205">
        <v>1</v>
      </c>
    </row>
    <row r="206" spans="1:17" ht="16.5" x14ac:dyDescent="0.25">
      <c r="A206">
        <v>205</v>
      </c>
      <c r="B206" t="s">
        <v>1</v>
      </c>
      <c r="C206" s="4">
        <v>45866</v>
      </c>
      <c r="D206" s="2">
        <v>45889</v>
      </c>
      <c r="E206" s="2">
        <v>45890</v>
      </c>
      <c r="F206" t="s">
        <v>60</v>
      </c>
      <c r="G206" t="s">
        <v>156</v>
      </c>
      <c r="H206" t="s">
        <v>640</v>
      </c>
      <c r="I206" t="s">
        <v>271</v>
      </c>
      <c r="J206" t="s">
        <v>742</v>
      </c>
      <c r="K206" t="s">
        <v>410</v>
      </c>
      <c r="M206" t="s">
        <v>548</v>
      </c>
      <c r="N206" t="s">
        <v>566</v>
      </c>
      <c r="O206" t="str">
        <f t="shared" si="13"/>
        <v>S</v>
      </c>
      <c r="P206" t="str">
        <f t="shared" si="14"/>
        <v>20/08/2025</v>
      </c>
      <c r="Q206">
        <v>1</v>
      </c>
    </row>
    <row r="207" spans="1:17" ht="16.5" x14ac:dyDescent="0.25">
      <c r="A207">
        <v>206</v>
      </c>
      <c r="B207" t="s">
        <v>2</v>
      </c>
      <c r="C207" s="4">
        <v>45866</v>
      </c>
      <c r="D207" s="2">
        <v>45889</v>
      </c>
      <c r="E207" s="2">
        <v>45890</v>
      </c>
      <c r="F207" t="s">
        <v>60</v>
      </c>
      <c r="G207" t="s">
        <v>156</v>
      </c>
      <c r="H207" t="s">
        <v>640</v>
      </c>
      <c r="I207" t="s">
        <v>208</v>
      </c>
      <c r="J207" t="s">
        <v>742</v>
      </c>
      <c r="K207" t="s">
        <v>410</v>
      </c>
      <c r="M207" t="s">
        <v>548</v>
      </c>
      <c r="N207" t="s">
        <v>570</v>
      </c>
      <c r="O207" t="str">
        <f t="shared" si="13"/>
        <v>S</v>
      </c>
      <c r="P207" t="str">
        <f t="shared" si="14"/>
        <v>20/08/2025</v>
      </c>
      <c r="Q207">
        <v>1</v>
      </c>
    </row>
    <row r="208" spans="1:17" ht="16.5" x14ac:dyDescent="0.25">
      <c r="A208">
        <v>207</v>
      </c>
      <c r="B208" t="s">
        <v>849</v>
      </c>
      <c r="C208" s="4">
        <v>45693</v>
      </c>
      <c r="D208" s="2">
        <v>45891</v>
      </c>
      <c r="E208" s="2">
        <v>45892</v>
      </c>
      <c r="F208" t="s">
        <v>13</v>
      </c>
      <c r="G208" t="s">
        <v>90</v>
      </c>
      <c r="H208" t="s">
        <v>583</v>
      </c>
      <c r="I208" t="s">
        <v>206</v>
      </c>
      <c r="J208" t="s">
        <v>681</v>
      </c>
      <c r="K208" t="s">
        <v>411</v>
      </c>
      <c r="M208" t="s">
        <v>549</v>
      </c>
      <c r="N208" t="s">
        <v>572</v>
      </c>
      <c r="O208" t="str">
        <f t="shared" si="13"/>
        <v>S</v>
      </c>
      <c r="P208" t="str">
        <f t="shared" si="14"/>
        <v>20/08/2025</v>
      </c>
      <c r="Q208">
        <v>1</v>
      </c>
    </row>
    <row r="209" spans="1:17" ht="16.5" x14ac:dyDescent="0.25">
      <c r="A209">
        <v>208</v>
      </c>
      <c r="B209" t="s">
        <v>849</v>
      </c>
      <c r="C209" s="4">
        <v>45693</v>
      </c>
      <c r="D209" s="2">
        <v>45891</v>
      </c>
      <c r="E209" s="2">
        <v>45892</v>
      </c>
      <c r="F209" t="s">
        <v>13</v>
      </c>
      <c r="G209" t="s">
        <v>90</v>
      </c>
      <c r="H209" t="s">
        <v>583</v>
      </c>
      <c r="I209" t="s">
        <v>272</v>
      </c>
      <c r="J209" t="s">
        <v>681</v>
      </c>
      <c r="K209" t="s">
        <v>411</v>
      </c>
      <c r="M209" t="s">
        <v>549</v>
      </c>
      <c r="N209" t="s">
        <v>572</v>
      </c>
      <c r="O209" t="str">
        <f t="shared" si="13"/>
        <v>S</v>
      </c>
      <c r="P209" t="str">
        <f t="shared" si="14"/>
        <v>20/08/2025</v>
      </c>
      <c r="Q209">
        <v>1</v>
      </c>
    </row>
    <row r="210" spans="1:17" ht="16.5" x14ac:dyDescent="0.25">
      <c r="A210">
        <v>209</v>
      </c>
      <c r="B210" t="s">
        <v>849</v>
      </c>
      <c r="C210" s="4">
        <v>44753</v>
      </c>
      <c r="D210" s="2">
        <v>45893</v>
      </c>
      <c r="E210" s="2">
        <v>45895</v>
      </c>
      <c r="F210" t="s">
        <v>9</v>
      </c>
      <c r="G210" t="s">
        <v>157</v>
      </c>
      <c r="H210" t="s">
        <v>641</v>
      </c>
      <c r="I210" t="s">
        <v>273</v>
      </c>
      <c r="J210" t="s">
        <v>743</v>
      </c>
      <c r="K210" t="s">
        <v>412</v>
      </c>
      <c r="M210" t="s">
        <v>549</v>
      </c>
      <c r="N210" t="s">
        <v>567</v>
      </c>
      <c r="O210" t="str">
        <f t="shared" si="13"/>
        <v>S</v>
      </c>
      <c r="P210" t="str">
        <f t="shared" si="14"/>
        <v>20/08/2025</v>
      </c>
      <c r="Q210">
        <v>1</v>
      </c>
    </row>
    <row r="211" spans="1:17" ht="16.5" x14ac:dyDescent="0.25">
      <c r="A211">
        <v>210</v>
      </c>
      <c r="B211" t="s">
        <v>849</v>
      </c>
      <c r="C211" s="4">
        <v>44753</v>
      </c>
      <c r="D211" s="2">
        <v>45893</v>
      </c>
      <c r="E211" s="2">
        <v>45895</v>
      </c>
      <c r="F211" t="s">
        <v>9</v>
      </c>
      <c r="G211" t="s">
        <v>157</v>
      </c>
      <c r="H211" t="s">
        <v>641</v>
      </c>
      <c r="I211" t="s">
        <v>208</v>
      </c>
      <c r="J211" t="s">
        <v>743</v>
      </c>
      <c r="K211" t="s">
        <v>412</v>
      </c>
      <c r="M211" t="s">
        <v>549</v>
      </c>
      <c r="N211" t="s">
        <v>567</v>
      </c>
      <c r="O211" t="str">
        <f t="shared" si="13"/>
        <v>S</v>
      </c>
      <c r="P211" t="str">
        <f t="shared" si="14"/>
        <v>20/08/2025</v>
      </c>
      <c r="Q211">
        <v>1</v>
      </c>
    </row>
    <row r="212" spans="1:17" ht="16.5" x14ac:dyDescent="0.25">
      <c r="A212">
        <v>211</v>
      </c>
      <c r="B212" t="s">
        <v>849</v>
      </c>
      <c r="C212" s="4">
        <v>45652</v>
      </c>
      <c r="D212" s="2">
        <v>45895</v>
      </c>
      <c r="E212" s="2">
        <v>45895</v>
      </c>
      <c r="F212" t="s">
        <v>6</v>
      </c>
      <c r="G212" t="s">
        <v>88</v>
      </c>
      <c r="H212" t="s">
        <v>581</v>
      </c>
      <c r="I212" t="s">
        <v>204</v>
      </c>
      <c r="J212" t="s">
        <v>679</v>
      </c>
      <c r="K212" t="s">
        <v>412</v>
      </c>
      <c r="M212" t="s">
        <v>549</v>
      </c>
      <c r="N212" t="s">
        <v>567</v>
      </c>
      <c r="O212" t="str">
        <f t="shared" si="13"/>
        <v>S</v>
      </c>
      <c r="P212" t="str">
        <f t="shared" si="14"/>
        <v>20/08/2025</v>
      </c>
      <c r="Q212">
        <v>1</v>
      </c>
    </row>
    <row r="213" spans="1:17" ht="16.5" x14ac:dyDescent="0.25">
      <c r="A213">
        <v>212</v>
      </c>
      <c r="B213" t="s">
        <v>849</v>
      </c>
      <c r="C213" s="4">
        <v>45652</v>
      </c>
      <c r="D213" s="2">
        <v>45895</v>
      </c>
      <c r="E213" s="2">
        <v>45895</v>
      </c>
      <c r="F213" t="s">
        <v>6</v>
      </c>
      <c r="G213" t="s">
        <v>88</v>
      </c>
      <c r="H213" t="s">
        <v>581</v>
      </c>
      <c r="I213" t="s">
        <v>208</v>
      </c>
      <c r="J213" t="s">
        <v>679</v>
      </c>
      <c r="K213" t="s">
        <v>412</v>
      </c>
      <c r="M213" t="s">
        <v>549</v>
      </c>
      <c r="N213" t="s">
        <v>567</v>
      </c>
      <c r="O213" t="str">
        <f t="shared" si="13"/>
        <v>S</v>
      </c>
      <c r="P213" t="str">
        <f t="shared" si="14"/>
        <v>20/08/2025</v>
      </c>
      <c r="Q213">
        <v>1</v>
      </c>
    </row>
    <row r="214" spans="1:17" ht="16.5" x14ac:dyDescent="0.25">
      <c r="A214">
        <v>213</v>
      </c>
      <c r="B214" t="s">
        <v>849</v>
      </c>
      <c r="C214" s="4">
        <v>45852</v>
      </c>
      <c r="D214" s="2">
        <v>45895</v>
      </c>
      <c r="E214" s="2">
        <v>45895</v>
      </c>
      <c r="F214" t="s">
        <v>15</v>
      </c>
      <c r="G214" t="s">
        <v>158</v>
      </c>
      <c r="H214" t="s">
        <v>642</v>
      </c>
      <c r="I214" t="s">
        <v>274</v>
      </c>
      <c r="J214" t="s">
        <v>744</v>
      </c>
      <c r="K214" t="s">
        <v>413</v>
      </c>
      <c r="M214" t="s">
        <v>577</v>
      </c>
      <c r="N214" t="s">
        <v>565</v>
      </c>
      <c r="O214" t="str">
        <f t="shared" si="13"/>
        <v>S</v>
      </c>
      <c r="P214" t="str">
        <f t="shared" si="14"/>
        <v/>
      </c>
      <c r="Q214">
        <v>1</v>
      </c>
    </row>
    <row r="215" spans="1:17" ht="16.5" x14ac:dyDescent="0.25">
      <c r="A215">
        <v>214</v>
      </c>
      <c r="B215" t="s">
        <v>849</v>
      </c>
      <c r="C215" s="4">
        <v>45852</v>
      </c>
      <c r="D215" s="2">
        <v>45895</v>
      </c>
      <c r="E215" s="2">
        <v>45895</v>
      </c>
      <c r="F215" t="s">
        <v>15</v>
      </c>
      <c r="G215" t="s">
        <v>158</v>
      </c>
      <c r="H215" t="s">
        <v>642</v>
      </c>
      <c r="I215" t="s">
        <v>203</v>
      </c>
      <c r="J215" t="s">
        <v>744</v>
      </c>
      <c r="K215" t="s">
        <v>413</v>
      </c>
      <c r="M215" t="s">
        <v>549</v>
      </c>
      <c r="N215" t="s">
        <v>565</v>
      </c>
      <c r="O215" t="str">
        <f t="shared" si="13"/>
        <v>S</v>
      </c>
      <c r="P215" t="str">
        <f t="shared" si="14"/>
        <v/>
      </c>
      <c r="Q215">
        <v>1</v>
      </c>
    </row>
    <row r="216" spans="1:17" ht="16.5" x14ac:dyDescent="0.25">
      <c r="A216">
        <v>215</v>
      </c>
      <c r="B216" t="s">
        <v>849</v>
      </c>
      <c r="C216" s="4">
        <v>45859</v>
      </c>
      <c r="D216" s="2">
        <v>45896</v>
      </c>
      <c r="E216" s="2">
        <v>45897</v>
      </c>
      <c r="F216" t="s">
        <v>40</v>
      </c>
      <c r="G216" t="s">
        <v>152</v>
      </c>
      <c r="H216" t="s">
        <v>637</v>
      </c>
      <c r="I216" t="s">
        <v>267</v>
      </c>
      <c r="J216" t="s">
        <v>738</v>
      </c>
      <c r="K216" t="s">
        <v>414</v>
      </c>
      <c r="M216" t="s">
        <v>550</v>
      </c>
      <c r="N216" t="s">
        <v>572</v>
      </c>
      <c r="O216" t="str">
        <f t="shared" si="13"/>
        <v>S</v>
      </c>
      <c r="P216" t="str">
        <f t="shared" si="14"/>
        <v>26/08/2025</v>
      </c>
      <c r="Q216">
        <v>1</v>
      </c>
    </row>
    <row r="217" spans="1:17" ht="16.5" x14ac:dyDescent="0.25">
      <c r="A217">
        <v>216</v>
      </c>
      <c r="B217" t="s">
        <v>849</v>
      </c>
      <c r="C217" s="4">
        <v>45859</v>
      </c>
      <c r="D217" s="2">
        <v>45896</v>
      </c>
      <c r="E217" s="2">
        <v>45897</v>
      </c>
      <c r="F217" t="s">
        <v>40</v>
      </c>
      <c r="G217" t="s">
        <v>152</v>
      </c>
      <c r="H217" t="s">
        <v>637</v>
      </c>
      <c r="I217" t="s">
        <v>208</v>
      </c>
      <c r="J217" t="s">
        <v>738</v>
      </c>
      <c r="K217" t="s">
        <v>414</v>
      </c>
      <c r="M217" t="s">
        <v>550</v>
      </c>
      <c r="N217" t="s">
        <v>572</v>
      </c>
      <c r="O217" t="str">
        <f t="shared" si="13"/>
        <v>S</v>
      </c>
      <c r="P217" t="str">
        <f t="shared" si="14"/>
        <v>26/08/2025</v>
      </c>
      <c r="Q217">
        <v>1</v>
      </c>
    </row>
    <row r="218" spans="1:17" ht="16.5" x14ac:dyDescent="0.25">
      <c r="A218">
        <v>217</v>
      </c>
      <c r="B218" t="s">
        <v>849</v>
      </c>
      <c r="C218" s="4">
        <v>45875</v>
      </c>
      <c r="D218" s="2">
        <v>45896</v>
      </c>
      <c r="E218" s="2">
        <v>45897</v>
      </c>
      <c r="F218" t="s">
        <v>32</v>
      </c>
      <c r="G218" t="s">
        <v>159</v>
      </c>
      <c r="H218" t="s">
        <v>643</v>
      </c>
      <c r="I218" t="s">
        <v>275</v>
      </c>
      <c r="J218" t="s">
        <v>745</v>
      </c>
      <c r="K218" t="s">
        <v>415</v>
      </c>
      <c r="M218" t="s">
        <v>550</v>
      </c>
      <c r="N218" t="s">
        <v>572</v>
      </c>
      <c r="O218" t="str">
        <f t="shared" si="13"/>
        <v>S</v>
      </c>
      <c r="P218" t="str">
        <f t="shared" si="14"/>
        <v>26/08/2025</v>
      </c>
      <c r="Q218">
        <v>1</v>
      </c>
    </row>
    <row r="219" spans="1:17" ht="16.5" x14ac:dyDescent="0.25">
      <c r="A219">
        <v>218</v>
      </c>
      <c r="B219" t="s">
        <v>849</v>
      </c>
      <c r="C219" s="4">
        <v>45875</v>
      </c>
      <c r="D219" s="2">
        <v>45896</v>
      </c>
      <c r="E219" s="2">
        <v>45897</v>
      </c>
      <c r="F219" t="s">
        <v>32</v>
      </c>
      <c r="G219" t="s">
        <v>159</v>
      </c>
      <c r="H219" t="s">
        <v>643</v>
      </c>
      <c r="I219" t="s">
        <v>272</v>
      </c>
      <c r="J219" t="s">
        <v>745</v>
      </c>
      <c r="K219" t="s">
        <v>415</v>
      </c>
      <c r="M219" t="s">
        <v>550</v>
      </c>
      <c r="N219" t="s">
        <v>572</v>
      </c>
      <c r="O219" t="str">
        <f t="shared" si="13"/>
        <v>S</v>
      </c>
      <c r="P219" t="str">
        <f t="shared" si="14"/>
        <v>26/08/2025</v>
      </c>
      <c r="Q219">
        <v>1</v>
      </c>
    </row>
    <row r="220" spans="1:17" ht="16.5" x14ac:dyDescent="0.25">
      <c r="A220">
        <v>219</v>
      </c>
      <c r="B220" t="s">
        <v>1</v>
      </c>
      <c r="C220" s="4">
        <v>45692</v>
      </c>
      <c r="D220" s="2">
        <v>45898</v>
      </c>
      <c r="E220" s="2">
        <v>45899</v>
      </c>
      <c r="F220" t="s">
        <v>11</v>
      </c>
      <c r="G220" t="s">
        <v>106</v>
      </c>
      <c r="H220" t="s">
        <v>597</v>
      </c>
      <c r="I220" t="s">
        <v>223</v>
      </c>
      <c r="J220" t="s">
        <v>696</v>
      </c>
      <c r="K220" t="s">
        <v>416</v>
      </c>
      <c r="M220" t="s">
        <v>550</v>
      </c>
      <c r="N220" t="s">
        <v>570</v>
      </c>
      <c r="O220" t="str">
        <f t="shared" si="13"/>
        <v>S</v>
      </c>
      <c r="P220" t="str">
        <f t="shared" si="14"/>
        <v>26/08/2025</v>
      </c>
      <c r="Q220">
        <v>1</v>
      </c>
    </row>
    <row r="221" spans="1:17" ht="16.5" x14ac:dyDescent="0.25">
      <c r="A221">
        <v>220</v>
      </c>
      <c r="B221" t="s">
        <v>2</v>
      </c>
      <c r="C221" s="4">
        <v>45692</v>
      </c>
      <c r="D221" s="2">
        <v>45898</v>
      </c>
      <c r="E221" s="2">
        <v>45899</v>
      </c>
      <c r="F221" t="s">
        <v>11</v>
      </c>
      <c r="G221" t="s">
        <v>106</v>
      </c>
      <c r="H221" t="s">
        <v>597</v>
      </c>
      <c r="I221" t="s">
        <v>272</v>
      </c>
      <c r="J221" t="s">
        <v>696</v>
      </c>
      <c r="K221" t="s">
        <v>416</v>
      </c>
      <c r="M221" t="s">
        <v>550</v>
      </c>
      <c r="N221" t="s">
        <v>566</v>
      </c>
      <c r="O221" t="str">
        <f t="shared" si="13"/>
        <v>S</v>
      </c>
      <c r="P221" t="str">
        <f t="shared" si="14"/>
        <v>26/08/2025</v>
      </c>
      <c r="Q221">
        <v>1</v>
      </c>
    </row>
    <row r="222" spans="1:17" ht="16.5" x14ac:dyDescent="0.25">
      <c r="A222">
        <v>221</v>
      </c>
      <c r="B222" t="s">
        <v>849</v>
      </c>
      <c r="C222" s="4">
        <v>45870</v>
      </c>
      <c r="D222" s="2">
        <v>45900</v>
      </c>
      <c r="E222" s="2">
        <v>45900</v>
      </c>
      <c r="F222" t="s">
        <v>61</v>
      </c>
      <c r="G222" t="s">
        <v>160</v>
      </c>
      <c r="H222" t="s">
        <v>644</v>
      </c>
      <c r="I222" t="s">
        <v>276</v>
      </c>
      <c r="J222" t="s">
        <v>746</v>
      </c>
      <c r="K222" t="s">
        <v>417</v>
      </c>
      <c r="M222" t="s">
        <v>550</v>
      </c>
      <c r="N222" t="s">
        <v>567</v>
      </c>
      <c r="O222" t="str">
        <f t="shared" si="13"/>
        <v>S</v>
      </c>
      <c r="P222" t="str">
        <f t="shared" si="14"/>
        <v>26/08/2025</v>
      </c>
      <c r="Q222">
        <v>1</v>
      </c>
    </row>
    <row r="223" spans="1:17" ht="16.5" x14ac:dyDescent="0.25">
      <c r="A223">
        <v>222</v>
      </c>
      <c r="B223" t="s">
        <v>849</v>
      </c>
      <c r="C223" s="4">
        <v>45870</v>
      </c>
      <c r="D223" s="2">
        <v>45900</v>
      </c>
      <c r="E223" s="2">
        <v>45900</v>
      </c>
      <c r="F223" t="s">
        <v>61</v>
      </c>
      <c r="G223" t="s">
        <v>160</v>
      </c>
      <c r="H223" t="s">
        <v>644</v>
      </c>
      <c r="I223" t="s">
        <v>208</v>
      </c>
      <c r="J223" t="s">
        <v>746</v>
      </c>
      <c r="K223" t="s">
        <v>417</v>
      </c>
      <c r="M223" t="s">
        <v>550</v>
      </c>
      <c r="N223" t="s">
        <v>567</v>
      </c>
      <c r="O223" t="str">
        <f t="shared" si="13"/>
        <v>S</v>
      </c>
      <c r="P223" t="str">
        <f t="shared" si="14"/>
        <v>26/08/2025</v>
      </c>
      <c r="Q223">
        <v>1</v>
      </c>
    </row>
    <row r="224" spans="1:17" ht="16.5" x14ac:dyDescent="0.25">
      <c r="A224">
        <v>223</v>
      </c>
      <c r="B224" t="s">
        <v>849</v>
      </c>
      <c r="C224" s="4">
        <v>45881</v>
      </c>
      <c r="D224" s="2">
        <v>45900</v>
      </c>
      <c r="E224" s="2">
        <v>45900</v>
      </c>
      <c r="F224" t="s">
        <v>62</v>
      </c>
      <c r="G224" t="s">
        <v>161</v>
      </c>
      <c r="H224" t="s">
        <v>645</v>
      </c>
      <c r="I224" t="s">
        <v>277</v>
      </c>
      <c r="J224" t="s">
        <v>747</v>
      </c>
      <c r="K224" t="s">
        <v>417</v>
      </c>
      <c r="M224" t="s">
        <v>550</v>
      </c>
      <c r="N224" t="s">
        <v>567</v>
      </c>
      <c r="O224" t="str">
        <f t="shared" si="13"/>
        <v>S</v>
      </c>
      <c r="P224" t="str">
        <f t="shared" si="14"/>
        <v>26/08/2025</v>
      </c>
      <c r="Q224">
        <v>1</v>
      </c>
    </row>
    <row r="225" spans="1:17" ht="16.5" x14ac:dyDescent="0.25">
      <c r="A225">
        <v>224</v>
      </c>
      <c r="B225" t="s">
        <v>849</v>
      </c>
      <c r="C225" s="4">
        <v>45881</v>
      </c>
      <c r="D225" s="2">
        <v>45900</v>
      </c>
      <c r="E225" s="2">
        <v>45900</v>
      </c>
      <c r="F225" t="s">
        <v>62</v>
      </c>
      <c r="G225" t="s">
        <v>161</v>
      </c>
      <c r="H225" t="s">
        <v>645</v>
      </c>
      <c r="I225" t="s">
        <v>208</v>
      </c>
      <c r="J225" t="s">
        <v>747</v>
      </c>
      <c r="K225" t="s">
        <v>417</v>
      </c>
      <c r="M225" t="s">
        <v>550</v>
      </c>
      <c r="N225" t="s">
        <v>567</v>
      </c>
      <c r="O225" t="str">
        <f t="shared" si="13"/>
        <v>S</v>
      </c>
      <c r="P225" t="str">
        <f t="shared" si="14"/>
        <v>26/08/2025</v>
      </c>
      <c r="Q225">
        <v>1</v>
      </c>
    </row>
    <row r="226" spans="1:17" ht="16.5" x14ac:dyDescent="0.25">
      <c r="A226">
        <v>225</v>
      </c>
      <c r="B226" t="s">
        <v>0</v>
      </c>
      <c r="C226" s="4">
        <v>45887</v>
      </c>
      <c r="D226" s="2">
        <v>45900</v>
      </c>
      <c r="E226" s="2">
        <v>45907</v>
      </c>
      <c r="F226" t="s">
        <v>63</v>
      </c>
      <c r="G226" t="s">
        <v>162</v>
      </c>
      <c r="H226" t="s">
        <v>646</v>
      </c>
      <c r="I226" t="s">
        <v>278</v>
      </c>
      <c r="J226" t="s">
        <v>748</v>
      </c>
      <c r="K226" t="s">
        <v>418</v>
      </c>
      <c r="M226" t="s">
        <v>577</v>
      </c>
      <c r="N226" t="s">
        <v>565</v>
      </c>
      <c r="O226" t="str">
        <f t="shared" si="13"/>
        <v>S</v>
      </c>
      <c r="P226" t="str">
        <f t="shared" si="14"/>
        <v/>
      </c>
      <c r="Q226">
        <v>1</v>
      </c>
    </row>
    <row r="227" spans="1:17" ht="16.5" x14ac:dyDescent="0.25">
      <c r="A227">
        <v>226</v>
      </c>
      <c r="B227" t="s">
        <v>0</v>
      </c>
      <c r="C227" s="4">
        <v>45887</v>
      </c>
      <c r="D227" s="2">
        <v>45900</v>
      </c>
      <c r="E227" s="2">
        <v>45907</v>
      </c>
      <c r="F227" t="s">
        <v>63</v>
      </c>
      <c r="G227" t="s">
        <v>162</v>
      </c>
      <c r="H227" t="s">
        <v>646</v>
      </c>
      <c r="I227" t="s">
        <v>272</v>
      </c>
      <c r="J227" t="s">
        <v>748</v>
      </c>
      <c r="K227" t="s">
        <v>418</v>
      </c>
      <c r="M227" t="s">
        <v>577</v>
      </c>
      <c r="N227" t="s">
        <v>565</v>
      </c>
      <c r="O227" t="str">
        <f t="shared" si="13"/>
        <v>S</v>
      </c>
      <c r="P227" t="str">
        <f t="shared" si="14"/>
        <v/>
      </c>
      <c r="Q227">
        <v>1</v>
      </c>
    </row>
    <row r="228" spans="1:17" ht="16.5" x14ac:dyDescent="0.25">
      <c r="A228">
        <v>227</v>
      </c>
      <c r="B228" t="s">
        <v>849</v>
      </c>
      <c r="C228" s="4">
        <v>45728</v>
      </c>
      <c r="D228" s="2">
        <v>45902</v>
      </c>
      <c r="E228" s="2">
        <v>45903</v>
      </c>
      <c r="F228" t="s">
        <v>22</v>
      </c>
      <c r="G228" t="s">
        <v>105</v>
      </c>
      <c r="H228" t="s">
        <v>596</v>
      </c>
      <c r="I228" t="s">
        <v>221</v>
      </c>
      <c r="J228" t="s">
        <v>694</v>
      </c>
      <c r="K228" t="s">
        <v>419</v>
      </c>
      <c r="M228" t="s">
        <v>550</v>
      </c>
      <c r="N228" t="s">
        <v>564</v>
      </c>
      <c r="O228" t="str">
        <f t="shared" si="13"/>
        <v>S</v>
      </c>
      <c r="P228" t="str">
        <f t="shared" si="14"/>
        <v>26/08/2025</v>
      </c>
      <c r="Q228">
        <v>1</v>
      </c>
    </row>
    <row r="229" spans="1:17" ht="16.5" x14ac:dyDescent="0.25">
      <c r="A229">
        <v>228</v>
      </c>
      <c r="B229" t="s">
        <v>849</v>
      </c>
      <c r="C229" s="4">
        <v>45728</v>
      </c>
      <c r="D229" s="2">
        <v>45902</v>
      </c>
      <c r="E229" s="2">
        <v>45903</v>
      </c>
      <c r="F229" t="s">
        <v>22</v>
      </c>
      <c r="G229" t="s">
        <v>105</v>
      </c>
      <c r="H229" t="s">
        <v>596</v>
      </c>
      <c r="I229" t="s">
        <v>272</v>
      </c>
      <c r="J229" t="s">
        <v>694</v>
      </c>
      <c r="K229" t="s">
        <v>419</v>
      </c>
      <c r="M229" t="s">
        <v>550</v>
      </c>
      <c r="N229" t="s">
        <v>564</v>
      </c>
      <c r="O229" t="str">
        <f t="shared" si="13"/>
        <v>S</v>
      </c>
      <c r="P229" t="str">
        <f t="shared" si="14"/>
        <v>26/08/2025</v>
      </c>
      <c r="Q229">
        <v>1</v>
      </c>
    </row>
    <row r="230" spans="1:17" ht="16.5" x14ac:dyDescent="0.25">
      <c r="A230">
        <v>229</v>
      </c>
      <c r="B230" t="s">
        <v>849</v>
      </c>
      <c r="C230" s="4">
        <v>45834</v>
      </c>
      <c r="D230" s="2">
        <v>45902</v>
      </c>
      <c r="E230" s="2">
        <v>45903</v>
      </c>
      <c r="F230" t="s">
        <v>18</v>
      </c>
      <c r="G230" t="s">
        <v>163</v>
      </c>
      <c r="H230" t="s">
        <v>647</v>
      </c>
      <c r="I230" t="s">
        <v>279</v>
      </c>
      <c r="J230" t="s">
        <v>749</v>
      </c>
      <c r="K230" t="s">
        <v>420</v>
      </c>
      <c r="M230" t="s">
        <v>550</v>
      </c>
      <c r="N230" t="s">
        <v>564</v>
      </c>
      <c r="O230" t="str">
        <f t="shared" si="13"/>
        <v>S</v>
      </c>
      <c r="P230" t="str">
        <f t="shared" si="14"/>
        <v>26/08/2025</v>
      </c>
      <c r="Q230">
        <v>1</v>
      </c>
    </row>
    <row r="231" spans="1:17" ht="16.5" x14ac:dyDescent="0.25">
      <c r="A231">
        <v>230</v>
      </c>
      <c r="B231" t="s">
        <v>849</v>
      </c>
      <c r="C231" s="4">
        <v>45834</v>
      </c>
      <c r="D231" s="2">
        <v>45902</v>
      </c>
      <c r="E231" s="2">
        <v>45903</v>
      </c>
      <c r="F231" t="s">
        <v>18</v>
      </c>
      <c r="G231" t="s">
        <v>163</v>
      </c>
      <c r="H231" t="s">
        <v>647</v>
      </c>
      <c r="I231" t="s">
        <v>272</v>
      </c>
      <c r="J231" t="s">
        <v>749</v>
      </c>
      <c r="K231" t="s">
        <v>420</v>
      </c>
      <c r="M231" t="s">
        <v>550</v>
      </c>
      <c r="N231" t="s">
        <v>564</v>
      </c>
      <c r="O231" t="str">
        <f t="shared" si="13"/>
        <v>S</v>
      </c>
      <c r="P231" t="str">
        <f t="shared" si="14"/>
        <v>26/08/2025</v>
      </c>
      <c r="Q231">
        <v>1</v>
      </c>
    </row>
    <row r="232" spans="1:17" ht="16.5" x14ac:dyDescent="0.25">
      <c r="A232">
        <v>231</v>
      </c>
      <c r="B232" t="s">
        <v>849</v>
      </c>
      <c r="C232" s="4">
        <v>45895</v>
      </c>
      <c r="D232" s="2">
        <v>45902</v>
      </c>
      <c r="E232" s="2">
        <v>45903</v>
      </c>
      <c r="F232" t="s">
        <v>64</v>
      </c>
      <c r="G232" t="s">
        <v>164</v>
      </c>
      <c r="H232" t="s">
        <v>648</v>
      </c>
      <c r="I232" t="s">
        <v>280</v>
      </c>
      <c r="J232" t="s">
        <v>750</v>
      </c>
      <c r="K232" t="s">
        <v>421</v>
      </c>
      <c r="M232" t="s">
        <v>550</v>
      </c>
      <c r="N232" t="s">
        <v>564</v>
      </c>
      <c r="O232" t="str">
        <f t="shared" si="13"/>
        <v>S</v>
      </c>
      <c r="P232" t="str">
        <f t="shared" si="14"/>
        <v>26/08/2025</v>
      </c>
      <c r="Q232">
        <v>1</v>
      </c>
    </row>
    <row r="233" spans="1:17" ht="16.5" x14ac:dyDescent="0.25">
      <c r="A233">
        <v>232</v>
      </c>
      <c r="B233" t="s">
        <v>849</v>
      </c>
      <c r="C233" s="4">
        <v>45895</v>
      </c>
      <c r="D233" s="2">
        <v>45902</v>
      </c>
      <c r="E233" s="2">
        <v>45903</v>
      </c>
      <c r="F233" t="s">
        <v>64</v>
      </c>
      <c r="G233" t="s">
        <v>164</v>
      </c>
      <c r="H233" t="s">
        <v>648</v>
      </c>
      <c r="I233" t="s">
        <v>208</v>
      </c>
      <c r="J233" t="s">
        <v>750</v>
      </c>
      <c r="K233" t="s">
        <v>421</v>
      </c>
      <c r="M233" t="s">
        <v>550</v>
      </c>
      <c r="N233" t="s">
        <v>564</v>
      </c>
      <c r="O233" t="str">
        <f t="shared" si="13"/>
        <v>S</v>
      </c>
      <c r="P233" t="str">
        <f t="shared" si="14"/>
        <v>26/08/2025</v>
      </c>
      <c r="Q233">
        <v>1</v>
      </c>
    </row>
    <row r="234" spans="1:17" ht="16.5" x14ac:dyDescent="0.25">
      <c r="A234">
        <v>233</v>
      </c>
      <c r="B234" t="s">
        <v>849</v>
      </c>
      <c r="C234" s="4">
        <v>45728</v>
      </c>
      <c r="D234" s="2">
        <v>45904</v>
      </c>
      <c r="E234" s="2">
        <v>45905</v>
      </c>
      <c r="F234" t="s">
        <v>22</v>
      </c>
      <c r="G234" t="s">
        <v>105</v>
      </c>
      <c r="H234" t="s">
        <v>596</v>
      </c>
      <c r="I234" t="s">
        <v>221</v>
      </c>
      <c r="J234" t="s">
        <v>694</v>
      </c>
      <c r="K234" t="s">
        <v>422</v>
      </c>
      <c r="M234" t="s">
        <v>550</v>
      </c>
      <c r="N234" t="s">
        <v>568</v>
      </c>
      <c r="O234" t="str">
        <f t="shared" si="13"/>
        <v>S</v>
      </c>
      <c r="P234" t="str">
        <f t="shared" si="14"/>
        <v>26/08/2025</v>
      </c>
      <c r="Q234">
        <v>1</v>
      </c>
    </row>
    <row r="235" spans="1:17" ht="16.5" x14ac:dyDescent="0.25">
      <c r="A235">
        <v>234</v>
      </c>
      <c r="B235" t="s">
        <v>849</v>
      </c>
      <c r="C235" s="4">
        <v>45728</v>
      </c>
      <c r="D235" s="2">
        <v>45904</v>
      </c>
      <c r="E235" s="2">
        <v>45905</v>
      </c>
      <c r="F235" t="s">
        <v>22</v>
      </c>
      <c r="G235" t="s">
        <v>105</v>
      </c>
      <c r="H235" t="s">
        <v>596</v>
      </c>
      <c r="I235" t="s">
        <v>272</v>
      </c>
      <c r="J235" t="s">
        <v>694</v>
      </c>
      <c r="K235" t="s">
        <v>422</v>
      </c>
      <c r="M235" t="s">
        <v>550</v>
      </c>
      <c r="N235" t="s">
        <v>568</v>
      </c>
      <c r="O235" t="str">
        <f t="shared" si="13"/>
        <v>S</v>
      </c>
      <c r="P235" t="str">
        <f t="shared" si="14"/>
        <v>26/08/2025</v>
      </c>
      <c r="Q235">
        <v>1</v>
      </c>
    </row>
    <row r="236" spans="1:17" ht="16.5" x14ac:dyDescent="0.25">
      <c r="A236">
        <v>235</v>
      </c>
      <c r="B236" t="s">
        <v>849</v>
      </c>
      <c r="C236" s="4">
        <v>45895</v>
      </c>
      <c r="D236" s="2">
        <v>45904</v>
      </c>
      <c r="E236" s="2">
        <v>45905</v>
      </c>
      <c r="F236" t="s">
        <v>64</v>
      </c>
      <c r="G236" t="s">
        <v>164</v>
      </c>
      <c r="H236" t="s">
        <v>648</v>
      </c>
      <c r="I236" t="s">
        <v>280</v>
      </c>
      <c r="J236" t="s">
        <v>750</v>
      </c>
      <c r="K236" t="s">
        <v>422</v>
      </c>
      <c r="M236" t="s">
        <v>550</v>
      </c>
      <c r="N236" t="s">
        <v>568</v>
      </c>
      <c r="O236" t="str">
        <f t="shared" ref="O236:O267" si="15">IF(OR(ISNUMBER(FIND("ENTREGUES",M236)),N236="Preto",N236="Cinza"),"S","N")</f>
        <v>S</v>
      </c>
      <c r="P236" t="str">
        <f t="shared" ref="P236:P267" si="16">IF(N236="Preto", "", MID(M236, FIND("em ", M236) + 3, 10))</f>
        <v>26/08/2025</v>
      </c>
      <c r="Q236">
        <v>1</v>
      </c>
    </row>
    <row r="237" spans="1:17" ht="16.5" x14ac:dyDescent="0.25">
      <c r="A237">
        <v>236</v>
      </c>
      <c r="B237" t="s">
        <v>849</v>
      </c>
      <c r="C237" s="4">
        <v>45895</v>
      </c>
      <c r="D237" s="2">
        <v>45904</v>
      </c>
      <c r="E237" s="2">
        <v>45905</v>
      </c>
      <c r="F237" t="s">
        <v>64</v>
      </c>
      <c r="G237" t="s">
        <v>164</v>
      </c>
      <c r="H237" t="s">
        <v>648</v>
      </c>
      <c r="I237" t="s">
        <v>208</v>
      </c>
      <c r="J237" t="s">
        <v>750</v>
      </c>
      <c r="K237" t="s">
        <v>422</v>
      </c>
      <c r="M237" t="s">
        <v>550</v>
      </c>
      <c r="N237" t="s">
        <v>568</v>
      </c>
      <c r="O237" t="str">
        <f t="shared" si="15"/>
        <v>S</v>
      </c>
      <c r="P237" t="str">
        <f t="shared" si="16"/>
        <v>26/08/2025</v>
      </c>
      <c r="Q237">
        <v>1</v>
      </c>
    </row>
    <row r="238" spans="1:17" ht="16.5" x14ac:dyDescent="0.25">
      <c r="A238">
        <v>237</v>
      </c>
      <c r="B238" t="s">
        <v>1</v>
      </c>
      <c r="C238" s="4">
        <v>45728</v>
      </c>
      <c r="D238" s="2">
        <v>45906</v>
      </c>
      <c r="E238" s="2">
        <v>45908</v>
      </c>
      <c r="F238" t="s">
        <v>22</v>
      </c>
      <c r="G238" t="s">
        <v>105</v>
      </c>
      <c r="H238" t="s">
        <v>596</v>
      </c>
      <c r="I238" t="s">
        <v>221</v>
      </c>
      <c r="J238" t="s">
        <v>694</v>
      </c>
      <c r="K238" t="s">
        <v>423</v>
      </c>
      <c r="M238" t="s">
        <v>551</v>
      </c>
      <c r="N238" t="s">
        <v>568</v>
      </c>
      <c r="O238" t="str">
        <f t="shared" si="15"/>
        <v>S</v>
      </c>
      <c r="P238" t="str">
        <f t="shared" si="16"/>
        <v>05/09/2025</v>
      </c>
      <c r="Q238">
        <v>1</v>
      </c>
    </row>
    <row r="239" spans="1:17" ht="16.5" x14ac:dyDescent="0.25">
      <c r="A239">
        <v>238</v>
      </c>
      <c r="B239" t="s">
        <v>2</v>
      </c>
      <c r="C239" s="4">
        <v>45728</v>
      </c>
      <c r="D239" s="2">
        <v>45906</v>
      </c>
      <c r="E239" s="2">
        <v>45908</v>
      </c>
      <c r="F239" t="s">
        <v>22</v>
      </c>
      <c r="G239" t="s">
        <v>105</v>
      </c>
      <c r="H239" t="s">
        <v>596</v>
      </c>
      <c r="I239" t="s">
        <v>272</v>
      </c>
      <c r="J239" t="s">
        <v>694</v>
      </c>
      <c r="K239" t="s">
        <v>423</v>
      </c>
      <c r="M239" t="s">
        <v>551</v>
      </c>
      <c r="N239" t="s">
        <v>567</v>
      </c>
      <c r="O239" t="str">
        <f t="shared" si="15"/>
        <v>S</v>
      </c>
      <c r="P239" t="str">
        <f t="shared" si="16"/>
        <v>05/09/2025</v>
      </c>
      <c r="Q239">
        <v>1</v>
      </c>
    </row>
    <row r="240" spans="1:17" ht="16.5" x14ac:dyDescent="0.25">
      <c r="A240">
        <v>239</v>
      </c>
      <c r="B240" t="s">
        <v>849</v>
      </c>
      <c r="C240" s="4">
        <v>45692</v>
      </c>
      <c r="D240" s="2">
        <v>45909</v>
      </c>
      <c r="E240" s="2">
        <v>45912</v>
      </c>
      <c r="F240" t="s">
        <v>32</v>
      </c>
      <c r="G240" t="s">
        <v>120</v>
      </c>
      <c r="H240" t="s">
        <v>610</v>
      </c>
      <c r="I240" t="s">
        <v>235</v>
      </c>
      <c r="J240" t="s">
        <v>708</v>
      </c>
      <c r="K240" t="s">
        <v>424</v>
      </c>
      <c r="M240" t="s">
        <v>551</v>
      </c>
      <c r="N240" t="s">
        <v>568</v>
      </c>
      <c r="O240" t="str">
        <f t="shared" si="15"/>
        <v>S</v>
      </c>
      <c r="P240" t="str">
        <f t="shared" si="16"/>
        <v>05/09/2025</v>
      </c>
      <c r="Q240">
        <v>1</v>
      </c>
    </row>
    <row r="241" spans="1:17" ht="16.5" x14ac:dyDescent="0.25">
      <c r="A241">
        <v>240</v>
      </c>
      <c r="B241" t="s">
        <v>849</v>
      </c>
      <c r="C241" s="4">
        <v>45692</v>
      </c>
      <c r="D241" s="2">
        <v>45909</v>
      </c>
      <c r="E241" s="2">
        <v>45912</v>
      </c>
      <c r="F241" t="s">
        <v>32</v>
      </c>
      <c r="G241" t="s">
        <v>120</v>
      </c>
      <c r="H241" t="s">
        <v>610</v>
      </c>
      <c r="I241" t="s">
        <v>272</v>
      </c>
      <c r="J241" t="s">
        <v>708</v>
      </c>
      <c r="K241" t="s">
        <v>424</v>
      </c>
      <c r="M241" t="s">
        <v>551</v>
      </c>
      <c r="N241" t="s">
        <v>568</v>
      </c>
      <c r="O241" t="str">
        <f t="shared" si="15"/>
        <v>S</v>
      </c>
      <c r="P241" t="str">
        <f t="shared" si="16"/>
        <v>05/09/2025</v>
      </c>
      <c r="Q241">
        <v>1</v>
      </c>
    </row>
    <row r="242" spans="1:17" ht="16.5" x14ac:dyDescent="0.25">
      <c r="A242">
        <v>241</v>
      </c>
      <c r="B242" t="s">
        <v>849</v>
      </c>
      <c r="C242" s="4">
        <v>45652</v>
      </c>
      <c r="D242" s="2">
        <v>45910</v>
      </c>
      <c r="E242" s="2">
        <v>45910</v>
      </c>
      <c r="F242" t="s">
        <v>6</v>
      </c>
      <c r="G242" t="s">
        <v>88</v>
      </c>
      <c r="H242" t="s">
        <v>581</v>
      </c>
      <c r="I242" t="s">
        <v>204</v>
      </c>
      <c r="J242" t="s">
        <v>679</v>
      </c>
      <c r="K242" t="s">
        <v>425</v>
      </c>
      <c r="M242" t="s">
        <v>551</v>
      </c>
      <c r="N242" t="s">
        <v>568</v>
      </c>
      <c r="O242" t="str">
        <f t="shared" si="15"/>
        <v>S</v>
      </c>
      <c r="P242" t="str">
        <f t="shared" si="16"/>
        <v>05/09/2025</v>
      </c>
      <c r="Q242">
        <v>1</v>
      </c>
    </row>
    <row r="243" spans="1:17" ht="16.5" x14ac:dyDescent="0.25">
      <c r="A243">
        <v>242</v>
      </c>
      <c r="B243" t="s">
        <v>849</v>
      </c>
      <c r="C243" s="4">
        <v>45652</v>
      </c>
      <c r="D243" s="2">
        <v>45910</v>
      </c>
      <c r="E243" s="2">
        <v>45910</v>
      </c>
      <c r="F243" t="s">
        <v>6</v>
      </c>
      <c r="G243" t="s">
        <v>88</v>
      </c>
      <c r="H243" t="s">
        <v>581</v>
      </c>
      <c r="I243" t="s">
        <v>272</v>
      </c>
      <c r="J243" t="s">
        <v>679</v>
      </c>
      <c r="K243" t="s">
        <v>425</v>
      </c>
      <c r="M243" t="s">
        <v>551</v>
      </c>
      <c r="N243" t="s">
        <v>568</v>
      </c>
      <c r="O243" t="str">
        <f t="shared" si="15"/>
        <v>S</v>
      </c>
      <c r="P243" t="str">
        <f t="shared" si="16"/>
        <v>05/09/2025</v>
      </c>
      <c r="Q243">
        <v>1</v>
      </c>
    </row>
    <row r="244" spans="1:17" ht="16.5" x14ac:dyDescent="0.25">
      <c r="A244">
        <v>243</v>
      </c>
      <c r="B244" t="s">
        <v>849</v>
      </c>
      <c r="C244" s="4">
        <v>45692</v>
      </c>
      <c r="D244" s="2">
        <v>45909</v>
      </c>
      <c r="E244" s="2">
        <v>45912</v>
      </c>
      <c r="F244" t="s">
        <v>11</v>
      </c>
      <c r="G244" t="s">
        <v>106</v>
      </c>
      <c r="H244" t="s">
        <v>597</v>
      </c>
      <c r="I244" t="s">
        <v>223</v>
      </c>
      <c r="J244" t="s">
        <v>696</v>
      </c>
      <c r="K244" t="s">
        <v>426</v>
      </c>
      <c r="M244" t="s">
        <v>551</v>
      </c>
      <c r="N244" t="s">
        <v>568</v>
      </c>
      <c r="O244" t="str">
        <f t="shared" si="15"/>
        <v>S</v>
      </c>
      <c r="P244" t="str">
        <f t="shared" si="16"/>
        <v>05/09/2025</v>
      </c>
      <c r="Q244">
        <v>1</v>
      </c>
    </row>
    <row r="245" spans="1:17" ht="16.5" x14ac:dyDescent="0.25">
      <c r="A245">
        <v>244</v>
      </c>
      <c r="B245" t="s">
        <v>849</v>
      </c>
      <c r="C245" s="4">
        <v>45692</v>
      </c>
      <c r="D245" s="2">
        <v>45909</v>
      </c>
      <c r="E245" s="2">
        <v>45912</v>
      </c>
      <c r="F245" t="s">
        <v>11</v>
      </c>
      <c r="G245" t="s">
        <v>106</v>
      </c>
      <c r="H245" t="s">
        <v>597</v>
      </c>
      <c r="I245" t="s">
        <v>272</v>
      </c>
      <c r="J245" t="s">
        <v>696</v>
      </c>
      <c r="K245" t="s">
        <v>426</v>
      </c>
      <c r="M245" t="s">
        <v>551</v>
      </c>
      <c r="N245" t="s">
        <v>568</v>
      </c>
      <c r="O245" t="str">
        <f t="shared" si="15"/>
        <v>S</v>
      </c>
      <c r="P245" t="str">
        <f t="shared" si="16"/>
        <v>05/09/2025</v>
      </c>
      <c r="Q245">
        <v>1</v>
      </c>
    </row>
    <row r="246" spans="1:17" ht="16.5" x14ac:dyDescent="0.25">
      <c r="A246">
        <v>245</v>
      </c>
      <c r="B246" t="s">
        <v>849</v>
      </c>
      <c r="C246" s="4">
        <v>45728</v>
      </c>
      <c r="D246" s="2">
        <v>45909</v>
      </c>
      <c r="E246" s="2">
        <v>45912</v>
      </c>
      <c r="F246" t="s">
        <v>22</v>
      </c>
      <c r="G246" t="s">
        <v>105</v>
      </c>
      <c r="H246" t="s">
        <v>596</v>
      </c>
      <c r="I246" t="s">
        <v>221</v>
      </c>
      <c r="J246" t="s">
        <v>694</v>
      </c>
      <c r="K246" t="s">
        <v>425</v>
      </c>
      <c r="M246" t="s">
        <v>551</v>
      </c>
      <c r="N246" t="s">
        <v>568</v>
      </c>
      <c r="O246" t="str">
        <f t="shared" si="15"/>
        <v>S</v>
      </c>
      <c r="P246" t="str">
        <f t="shared" si="16"/>
        <v>05/09/2025</v>
      </c>
      <c r="Q246">
        <v>1</v>
      </c>
    </row>
    <row r="247" spans="1:17" ht="16.5" x14ac:dyDescent="0.25">
      <c r="A247">
        <v>246</v>
      </c>
      <c r="B247" t="s">
        <v>849</v>
      </c>
      <c r="C247" s="4">
        <v>45728</v>
      </c>
      <c r="D247" s="2">
        <v>45909</v>
      </c>
      <c r="E247" s="2">
        <v>45912</v>
      </c>
      <c r="F247" t="s">
        <v>22</v>
      </c>
      <c r="G247" t="s">
        <v>105</v>
      </c>
      <c r="H247" t="s">
        <v>596</v>
      </c>
      <c r="I247" t="s">
        <v>272</v>
      </c>
      <c r="J247" t="s">
        <v>694</v>
      </c>
      <c r="K247" t="s">
        <v>425</v>
      </c>
      <c r="M247" t="s">
        <v>551</v>
      </c>
      <c r="N247" t="s">
        <v>568</v>
      </c>
      <c r="O247" t="str">
        <f t="shared" si="15"/>
        <v>S</v>
      </c>
      <c r="P247" t="str">
        <f t="shared" si="16"/>
        <v>05/09/2025</v>
      </c>
      <c r="Q247">
        <v>1</v>
      </c>
    </row>
    <row r="248" spans="1:17" ht="16.5" x14ac:dyDescent="0.25">
      <c r="A248">
        <v>247</v>
      </c>
      <c r="B248" t="s">
        <v>849</v>
      </c>
      <c r="C248" s="4">
        <v>45875</v>
      </c>
      <c r="D248" s="2">
        <v>45909</v>
      </c>
      <c r="E248" s="2">
        <v>45912</v>
      </c>
      <c r="F248" t="s">
        <v>27</v>
      </c>
      <c r="G248" t="s">
        <v>165</v>
      </c>
      <c r="H248" t="s">
        <v>596</v>
      </c>
      <c r="I248" t="s">
        <v>281</v>
      </c>
      <c r="J248" t="s">
        <v>751</v>
      </c>
      <c r="K248" t="s">
        <v>427</v>
      </c>
      <c r="M248" t="s">
        <v>551</v>
      </c>
      <c r="N248" t="s">
        <v>568</v>
      </c>
      <c r="O248" t="str">
        <f t="shared" si="15"/>
        <v>S</v>
      </c>
      <c r="P248" t="str">
        <f t="shared" si="16"/>
        <v>05/09/2025</v>
      </c>
      <c r="Q248">
        <v>1</v>
      </c>
    </row>
    <row r="249" spans="1:17" ht="16.5" x14ac:dyDescent="0.25">
      <c r="A249">
        <v>248</v>
      </c>
      <c r="B249" t="s">
        <v>2</v>
      </c>
      <c r="C249" s="4">
        <v>45875</v>
      </c>
      <c r="D249" s="2">
        <v>45909</v>
      </c>
      <c r="E249" s="2">
        <v>45912</v>
      </c>
      <c r="F249" t="s">
        <v>27</v>
      </c>
      <c r="G249" t="s">
        <v>165</v>
      </c>
      <c r="H249" t="s">
        <v>596</v>
      </c>
      <c r="I249" t="s">
        <v>272</v>
      </c>
      <c r="J249" t="s">
        <v>751</v>
      </c>
      <c r="K249" t="s">
        <v>427</v>
      </c>
      <c r="M249" t="s">
        <v>551</v>
      </c>
      <c r="N249" t="s">
        <v>568</v>
      </c>
      <c r="O249" t="str">
        <f t="shared" si="15"/>
        <v>S</v>
      </c>
      <c r="P249" t="str">
        <f t="shared" si="16"/>
        <v>05/09/2025</v>
      </c>
      <c r="Q249">
        <v>1</v>
      </c>
    </row>
    <row r="250" spans="1:17" ht="16.5" x14ac:dyDescent="0.25">
      <c r="A250">
        <v>249</v>
      </c>
      <c r="B250" t="s">
        <v>849</v>
      </c>
      <c r="C250" s="4">
        <v>45722</v>
      </c>
      <c r="D250" s="2">
        <v>45913</v>
      </c>
      <c r="E250" s="2">
        <v>45914</v>
      </c>
      <c r="F250" t="s">
        <v>18</v>
      </c>
      <c r="G250" t="s">
        <v>166</v>
      </c>
      <c r="H250" t="s">
        <v>649</v>
      </c>
      <c r="I250" t="s">
        <v>282</v>
      </c>
      <c r="J250" t="s">
        <v>752</v>
      </c>
      <c r="K250" t="s">
        <v>428</v>
      </c>
      <c r="M250" t="s">
        <v>551</v>
      </c>
      <c r="N250" t="s">
        <v>566</v>
      </c>
      <c r="O250" t="str">
        <f t="shared" si="15"/>
        <v>S</v>
      </c>
      <c r="P250" t="str">
        <f t="shared" si="16"/>
        <v>05/09/2025</v>
      </c>
      <c r="Q250">
        <v>1</v>
      </c>
    </row>
    <row r="251" spans="1:17" ht="16.5" x14ac:dyDescent="0.25">
      <c r="A251">
        <v>250</v>
      </c>
      <c r="B251" t="s">
        <v>849</v>
      </c>
      <c r="C251" s="4">
        <v>45722</v>
      </c>
      <c r="D251" s="2">
        <v>45913</v>
      </c>
      <c r="E251" s="2">
        <v>45914</v>
      </c>
      <c r="F251" t="s">
        <v>18</v>
      </c>
      <c r="G251" t="s">
        <v>166</v>
      </c>
      <c r="H251" t="s">
        <v>649</v>
      </c>
      <c r="I251" t="s">
        <v>208</v>
      </c>
      <c r="J251" t="s">
        <v>752</v>
      </c>
      <c r="K251" t="s">
        <v>428</v>
      </c>
      <c r="M251" t="s">
        <v>551</v>
      </c>
      <c r="N251" t="s">
        <v>566</v>
      </c>
      <c r="O251" t="str">
        <f t="shared" si="15"/>
        <v>S</v>
      </c>
      <c r="P251" t="str">
        <f t="shared" si="16"/>
        <v>05/09/2025</v>
      </c>
      <c r="Q251">
        <v>1</v>
      </c>
    </row>
    <row r="252" spans="1:17" ht="16.5" x14ac:dyDescent="0.25">
      <c r="A252">
        <v>251</v>
      </c>
      <c r="B252" t="s">
        <v>849</v>
      </c>
      <c r="C252" s="4">
        <v>45912</v>
      </c>
      <c r="D252" s="2">
        <v>45915</v>
      </c>
      <c r="E252" s="2">
        <v>45916</v>
      </c>
      <c r="F252" t="s">
        <v>11</v>
      </c>
      <c r="G252" t="s">
        <v>167</v>
      </c>
      <c r="H252" t="s">
        <v>597</v>
      </c>
      <c r="I252" t="s">
        <v>283</v>
      </c>
      <c r="J252" t="s">
        <v>753</v>
      </c>
      <c r="K252" t="s">
        <v>429</v>
      </c>
      <c r="M252" t="s">
        <v>552</v>
      </c>
      <c r="N252" t="s">
        <v>570</v>
      </c>
      <c r="O252" t="str">
        <f t="shared" si="15"/>
        <v>S</v>
      </c>
      <c r="P252" t="str">
        <f t="shared" si="16"/>
        <v>12/09/2025</v>
      </c>
      <c r="Q252">
        <v>1</v>
      </c>
    </row>
    <row r="253" spans="1:17" ht="16.5" x14ac:dyDescent="0.25">
      <c r="A253">
        <v>252</v>
      </c>
      <c r="B253" t="s">
        <v>849</v>
      </c>
      <c r="C253" s="4">
        <v>45912</v>
      </c>
      <c r="D253" s="2">
        <v>45915</v>
      </c>
      <c r="E253" s="2">
        <v>45916</v>
      </c>
      <c r="F253" t="s">
        <v>11</v>
      </c>
      <c r="G253" t="s">
        <v>167</v>
      </c>
      <c r="H253" t="s">
        <v>597</v>
      </c>
      <c r="I253" t="s">
        <v>272</v>
      </c>
      <c r="J253" t="s">
        <v>753</v>
      </c>
      <c r="K253" t="s">
        <v>429</v>
      </c>
      <c r="M253" t="s">
        <v>552</v>
      </c>
      <c r="N253" t="s">
        <v>570</v>
      </c>
      <c r="O253" t="str">
        <f t="shared" si="15"/>
        <v>S</v>
      </c>
      <c r="P253" t="str">
        <f t="shared" si="16"/>
        <v>12/09/2025</v>
      </c>
      <c r="Q253">
        <v>1</v>
      </c>
    </row>
    <row r="254" spans="1:17" ht="16.5" x14ac:dyDescent="0.25">
      <c r="A254">
        <v>253</v>
      </c>
      <c r="B254" t="s">
        <v>0</v>
      </c>
      <c r="C254" s="4">
        <v>45832</v>
      </c>
      <c r="D254" s="2">
        <v>45916</v>
      </c>
      <c r="E254" s="2">
        <v>45916</v>
      </c>
      <c r="F254" t="s">
        <v>65</v>
      </c>
      <c r="G254" t="s">
        <v>168</v>
      </c>
      <c r="H254" t="s">
        <v>650</v>
      </c>
      <c r="I254" t="s">
        <v>284</v>
      </c>
      <c r="J254" t="s">
        <v>754</v>
      </c>
      <c r="K254" t="s">
        <v>430</v>
      </c>
      <c r="M254" t="s">
        <v>577</v>
      </c>
      <c r="N254" t="s">
        <v>565</v>
      </c>
      <c r="O254" t="str">
        <f t="shared" si="15"/>
        <v>S</v>
      </c>
      <c r="P254" t="str">
        <f t="shared" si="16"/>
        <v/>
      </c>
      <c r="Q254">
        <v>1</v>
      </c>
    </row>
    <row r="255" spans="1:17" ht="16.5" x14ac:dyDescent="0.25">
      <c r="A255">
        <v>254</v>
      </c>
      <c r="B255" t="s">
        <v>0</v>
      </c>
      <c r="C255" s="4">
        <v>45832</v>
      </c>
      <c r="D255" s="2">
        <v>45916</v>
      </c>
      <c r="E255" s="2">
        <v>45916</v>
      </c>
      <c r="F255" t="s">
        <v>65</v>
      </c>
      <c r="G255" t="s">
        <v>168</v>
      </c>
      <c r="H255" t="s">
        <v>650</v>
      </c>
      <c r="I255" t="s">
        <v>203</v>
      </c>
      <c r="J255" t="s">
        <v>754</v>
      </c>
      <c r="K255" t="s">
        <v>430</v>
      </c>
      <c r="M255" t="s">
        <v>577</v>
      </c>
      <c r="N255" t="s">
        <v>565</v>
      </c>
      <c r="O255" t="str">
        <f t="shared" si="15"/>
        <v>S</v>
      </c>
      <c r="P255" t="str">
        <f t="shared" si="16"/>
        <v/>
      </c>
      <c r="Q255">
        <v>1</v>
      </c>
    </row>
    <row r="256" spans="1:17" ht="16.5" x14ac:dyDescent="0.25">
      <c r="A256">
        <v>255</v>
      </c>
      <c r="B256" t="s">
        <v>849</v>
      </c>
      <c r="C256" s="4">
        <v>45693</v>
      </c>
      <c r="D256" s="2">
        <v>45917</v>
      </c>
      <c r="E256" s="2">
        <v>45918</v>
      </c>
      <c r="F256" t="s">
        <v>13</v>
      </c>
      <c r="G256" t="s">
        <v>90</v>
      </c>
      <c r="H256" t="s">
        <v>583</v>
      </c>
      <c r="I256" t="s">
        <v>206</v>
      </c>
      <c r="J256" t="s">
        <v>681</v>
      </c>
      <c r="K256" t="s">
        <v>431</v>
      </c>
      <c r="M256" t="s">
        <v>553</v>
      </c>
      <c r="N256" t="s">
        <v>567</v>
      </c>
      <c r="O256" t="str">
        <f t="shared" si="15"/>
        <v>S</v>
      </c>
      <c r="P256" t="str">
        <f t="shared" si="16"/>
        <v>17/09/2025</v>
      </c>
      <c r="Q256">
        <v>1</v>
      </c>
    </row>
    <row r="257" spans="1:17" ht="16.5" x14ac:dyDescent="0.25">
      <c r="A257">
        <v>256</v>
      </c>
      <c r="B257" t="s">
        <v>849</v>
      </c>
      <c r="C257" s="4">
        <v>45693</v>
      </c>
      <c r="D257" s="2">
        <v>45917</v>
      </c>
      <c r="E257" s="2">
        <v>45918</v>
      </c>
      <c r="F257" t="s">
        <v>13</v>
      </c>
      <c r="G257" t="s">
        <v>90</v>
      </c>
      <c r="H257" t="s">
        <v>583</v>
      </c>
      <c r="I257" t="s">
        <v>272</v>
      </c>
      <c r="J257" t="s">
        <v>681</v>
      </c>
      <c r="K257" t="s">
        <v>431</v>
      </c>
      <c r="M257" t="s">
        <v>553</v>
      </c>
      <c r="N257" t="s">
        <v>567</v>
      </c>
      <c r="O257" t="str">
        <f t="shared" si="15"/>
        <v>S</v>
      </c>
      <c r="P257" t="str">
        <f t="shared" si="16"/>
        <v>17/09/2025</v>
      </c>
      <c r="Q257">
        <v>1</v>
      </c>
    </row>
    <row r="258" spans="1:17" ht="16.5" x14ac:dyDescent="0.25">
      <c r="A258">
        <v>257</v>
      </c>
      <c r="B258" t="s">
        <v>849</v>
      </c>
      <c r="C258" s="4">
        <v>45855</v>
      </c>
      <c r="D258" s="2">
        <v>45917</v>
      </c>
      <c r="E258" s="2">
        <v>45918</v>
      </c>
      <c r="F258" t="s">
        <v>31</v>
      </c>
      <c r="G258" t="s">
        <v>169</v>
      </c>
      <c r="H258" t="s">
        <v>651</v>
      </c>
      <c r="I258" t="s">
        <v>285</v>
      </c>
      <c r="J258" t="s">
        <v>755</v>
      </c>
      <c r="K258" t="s">
        <v>431</v>
      </c>
      <c r="M258" t="s">
        <v>553</v>
      </c>
      <c r="N258" t="s">
        <v>567</v>
      </c>
      <c r="O258" t="str">
        <f t="shared" si="15"/>
        <v>S</v>
      </c>
      <c r="P258" t="str">
        <f t="shared" si="16"/>
        <v>17/09/2025</v>
      </c>
      <c r="Q258">
        <v>1</v>
      </c>
    </row>
    <row r="259" spans="1:17" ht="16.5" x14ac:dyDescent="0.25">
      <c r="A259">
        <v>258</v>
      </c>
      <c r="B259" t="s">
        <v>849</v>
      </c>
      <c r="C259" s="4">
        <v>45855</v>
      </c>
      <c r="D259" s="2">
        <v>45917</v>
      </c>
      <c r="E259" s="2">
        <v>45918</v>
      </c>
      <c r="F259" t="s">
        <v>31</v>
      </c>
      <c r="G259" t="s">
        <v>169</v>
      </c>
      <c r="H259" t="s">
        <v>651</v>
      </c>
      <c r="I259" t="s">
        <v>272</v>
      </c>
      <c r="J259" t="s">
        <v>755</v>
      </c>
      <c r="K259" t="s">
        <v>431</v>
      </c>
      <c r="M259" t="s">
        <v>553</v>
      </c>
      <c r="N259" t="s">
        <v>567</v>
      </c>
      <c r="O259" t="str">
        <f t="shared" si="15"/>
        <v>S</v>
      </c>
      <c r="P259" t="str">
        <f t="shared" si="16"/>
        <v>17/09/2025</v>
      </c>
      <c r="Q259">
        <v>1</v>
      </c>
    </row>
    <row r="260" spans="1:17" ht="16.5" x14ac:dyDescent="0.25">
      <c r="A260">
        <v>259</v>
      </c>
      <c r="B260" t="s">
        <v>849</v>
      </c>
      <c r="C260" s="4">
        <v>45859</v>
      </c>
      <c r="D260" s="2">
        <v>45917</v>
      </c>
      <c r="E260" s="2">
        <v>45918</v>
      </c>
      <c r="F260" t="s">
        <v>18</v>
      </c>
      <c r="G260" t="s">
        <v>101</v>
      </c>
      <c r="H260" t="s">
        <v>592</v>
      </c>
      <c r="I260" t="s">
        <v>286</v>
      </c>
      <c r="J260" t="s">
        <v>756</v>
      </c>
      <c r="K260" t="s">
        <v>431</v>
      </c>
      <c r="M260" t="s">
        <v>553</v>
      </c>
      <c r="N260" t="s">
        <v>567</v>
      </c>
      <c r="O260" t="str">
        <f t="shared" si="15"/>
        <v>S</v>
      </c>
      <c r="P260" t="str">
        <f t="shared" si="16"/>
        <v>17/09/2025</v>
      </c>
      <c r="Q260">
        <v>1</v>
      </c>
    </row>
    <row r="261" spans="1:17" ht="16.5" x14ac:dyDescent="0.25">
      <c r="A261">
        <v>260</v>
      </c>
      <c r="B261" t="s">
        <v>849</v>
      </c>
      <c r="C261" s="4">
        <v>45859</v>
      </c>
      <c r="D261" s="2">
        <v>45917</v>
      </c>
      <c r="E261" s="2">
        <v>45918</v>
      </c>
      <c r="F261" t="s">
        <v>18</v>
      </c>
      <c r="G261" t="s">
        <v>101</v>
      </c>
      <c r="H261" t="s">
        <v>592</v>
      </c>
      <c r="I261" t="s">
        <v>272</v>
      </c>
      <c r="J261" t="s">
        <v>756</v>
      </c>
      <c r="K261" t="s">
        <v>431</v>
      </c>
      <c r="M261" t="s">
        <v>553</v>
      </c>
      <c r="N261" t="s">
        <v>567</v>
      </c>
      <c r="O261" t="str">
        <f t="shared" si="15"/>
        <v>S</v>
      </c>
      <c r="P261" t="str">
        <f t="shared" si="16"/>
        <v>17/09/2025</v>
      </c>
      <c r="Q261">
        <v>1</v>
      </c>
    </row>
    <row r="262" spans="1:17" ht="16.5" x14ac:dyDescent="0.25">
      <c r="A262">
        <v>261</v>
      </c>
      <c r="B262" t="s">
        <v>849</v>
      </c>
      <c r="C262" s="4">
        <v>45727</v>
      </c>
      <c r="D262" s="2">
        <v>45917</v>
      </c>
      <c r="E262" s="2">
        <v>45918</v>
      </c>
      <c r="F262" t="s">
        <v>18</v>
      </c>
      <c r="G262" t="s">
        <v>101</v>
      </c>
      <c r="H262" t="s">
        <v>592</v>
      </c>
      <c r="I262" t="s">
        <v>217</v>
      </c>
      <c r="J262" t="s">
        <v>690</v>
      </c>
      <c r="K262" t="s">
        <v>432</v>
      </c>
      <c r="M262" t="s">
        <v>553</v>
      </c>
      <c r="N262" t="s">
        <v>567</v>
      </c>
      <c r="O262" t="str">
        <f t="shared" si="15"/>
        <v>S</v>
      </c>
      <c r="P262" t="str">
        <f t="shared" si="16"/>
        <v>17/09/2025</v>
      </c>
      <c r="Q262">
        <v>1</v>
      </c>
    </row>
    <row r="263" spans="1:17" ht="16.5" x14ac:dyDescent="0.25">
      <c r="A263">
        <v>262</v>
      </c>
      <c r="B263" t="s">
        <v>849</v>
      </c>
      <c r="C263" s="4">
        <v>45727</v>
      </c>
      <c r="D263" s="2">
        <v>45917</v>
      </c>
      <c r="E263" s="2">
        <v>45918</v>
      </c>
      <c r="F263" t="s">
        <v>18</v>
      </c>
      <c r="G263" t="s">
        <v>101</v>
      </c>
      <c r="H263" t="s">
        <v>592</v>
      </c>
      <c r="I263" t="s">
        <v>208</v>
      </c>
      <c r="J263" t="s">
        <v>690</v>
      </c>
      <c r="K263" t="s">
        <v>432</v>
      </c>
      <c r="M263" t="s">
        <v>553</v>
      </c>
      <c r="N263" t="s">
        <v>567</v>
      </c>
      <c r="O263" t="str">
        <f t="shared" si="15"/>
        <v>S</v>
      </c>
      <c r="P263" t="str">
        <f t="shared" si="16"/>
        <v>17/09/2025</v>
      </c>
      <c r="Q263">
        <v>1</v>
      </c>
    </row>
    <row r="264" spans="1:17" ht="16.5" x14ac:dyDescent="0.25">
      <c r="A264">
        <v>263</v>
      </c>
      <c r="B264" t="s">
        <v>849</v>
      </c>
      <c r="C264" s="4">
        <v>45895</v>
      </c>
      <c r="D264" s="2">
        <v>45917</v>
      </c>
      <c r="E264" s="2">
        <v>45918</v>
      </c>
      <c r="F264" t="s">
        <v>64</v>
      </c>
      <c r="G264" t="s">
        <v>164</v>
      </c>
      <c r="H264" t="s">
        <v>648</v>
      </c>
      <c r="I264" t="s">
        <v>280</v>
      </c>
      <c r="J264" t="s">
        <v>750</v>
      </c>
      <c r="K264" t="s">
        <v>432</v>
      </c>
      <c r="M264" t="s">
        <v>553</v>
      </c>
      <c r="N264" t="s">
        <v>567</v>
      </c>
      <c r="O264" t="str">
        <f t="shared" si="15"/>
        <v>S</v>
      </c>
      <c r="P264" t="str">
        <f t="shared" si="16"/>
        <v>17/09/2025</v>
      </c>
      <c r="Q264">
        <v>1</v>
      </c>
    </row>
    <row r="265" spans="1:17" ht="16.5" x14ac:dyDescent="0.25">
      <c r="A265">
        <v>264</v>
      </c>
      <c r="B265" t="s">
        <v>849</v>
      </c>
      <c r="C265" s="4">
        <v>45895</v>
      </c>
      <c r="D265" s="2">
        <v>45917</v>
      </c>
      <c r="E265" s="2">
        <v>45918</v>
      </c>
      <c r="F265" t="s">
        <v>64</v>
      </c>
      <c r="G265" t="s">
        <v>164</v>
      </c>
      <c r="H265" t="s">
        <v>648</v>
      </c>
      <c r="I265" t="s">
        <v>272</v>
      </c>
      <c r="J265" t="s">
        <v>750</v>
      </c>
      <c r="K265" t="s">
        <v>432</v>
      </c>
      <c r="M265" t="s">
        <v>553</v>
      </c>
      <c r="N265" t="s">
        <v>567</v>
      </c>
      <c r="O265" t="str">
        <f t="shared" si="15"/>
        <v>S</v>
      </c>
      <c r="P265" t="str">
        <f t="shared" si="16"/>
        <v>17/09/2025</v>
      </c>
      <c r="Q265">
        <v>1</v>
      </c>
    </row>
    <row r="266" spans="1:17" ht="16.5" x14ac:dyDescent="0.25">
      <c r="A266">
        <v>265</v>
      </c>
      <c r="B266" t="s">
        <v>849</v>
      </c>
      <c r="C266" s="4">
        <v>45908</v>
      </c>
      <c r="D266" s="2">
        <v>45917</v>
      </c>
      <c r="E266" s="2">
        <v>45918</v>
      </c>
      <c r="F266" t="s">
        <v>19</v>
      </c>
      <c r="G266" t="s">
        <v>170</v>
      </c>
      <c r="H266" t="s">
        <v>652</v>
      </c>
      <c r="I266" t="s">
        <v>287</v>
      </c>
      <c r="J266" t="s">
        <v>757</v>
      </c>
      <c r="K266" t="s">
        <v>432</v>
      </c>
      <c r="M266" t="s">
        <v>553</v>
      </c>
      <c r="N266" t="s">
        <v>567</v>
      </c>
      <c r="O266" t="str">
        <f t="shared" si="15"/>
        <v>S</v>
      </c>
      <c r="P266" t="str">
        <f t="shared" si="16"/>
        <v>17/09/2025</v>
      </c>
      <c r="Q266">
        <v>1</v>
      </c>
    </row>
    <row r="267" spans="1:17" ht="16.5" x14ac:dyDescent="0.25">
      <c r="A267">
        <v>266</v>
      </c>
      <c r="B267" t="s">
        <v>849</v>
      </c>
      <c r="C267" s="4">
        <v>45908</v>
      </c>
      <c r="D267" s="2">
        <v>45917</v>
      </c>
      <c r="E267" s="2">
        <v>45918</v>
      </c>
      <c r="F267" t="s">
        <v>19</v>
      </c>
      <c r="G267" t="s">
        <v>170</v>
      </c>
      <c r="H267" t="s">
        <v>652</v>
      </c>
      <c r="I267" t="s">
        <v>208</v>
      </c>
      <c r="J267" t="s">
        <v>757</v>
      </c>
      <c r="K267" t="s">
        <v>432</v>
      </c>
      <c r="M267" t="s">
        <v>553</v>
      </c>
      <c r="N267" t="s">
        <v>567</v>
      </c>
      <c r="O267" t="str">
        <f t="shared" si="15"/>
        <v>S</v>
      </c>
      <c r="P267" t="str">
        <f t="shared" si="16"/>
        <v>17/09/2025</v>
      </c>
      <c r="Q267">
        <v>1</v>
      </c>
    </row>
    <row r="268" spans="1:17" ht="16.5" x14ac:dyDescent="0.25">
      <c r="A268">
        <v>267</v>
      </c>
      <c r="B268" t="s">
        <v>849</v>
      </c>
      <c r="C268" s="4">
        <v>45905</v>
      </c>
      <c r="D268" s="2">
        <v>45917</v>
      </c>
      <c r="E268" s="2">
        <v>45918</v>
      </c>
      <c r="F268" t="s">
        <v>18</v>
      </c>
      <c r="G268" t="s">
        <v>171</v>
      </c>
      <c r="H268" t="s">
        <v>653</v>
      </c>
      <c r="I268" t="s">
        <v>288</v>
      </c>
      <c r="J268" t="s">
        <v>758</v>
      </c>
      <c r="K268" t="s">
        <v>433</v>
      </c>
      <c r="M268" t="s">
        <v>553</v>
      </c>
      <c r="N268" t="s">
        <v>567</v>
      </c>
      <c r="O268" t="str">
        <f t="shared" ref="O268:O299" si="17">IF(OR(ISNUMBER(FIND("ENTREGUES",M268)),N268="Preto",N268="Cinza"),"S","N")</f>
        <v>S</v>
      </c>
      <c r="P268" t="str">
        <f t="shared" ref="P268:P299" si="18">IF(N268="Preto", "", MID(M268, FIND("em ", M268) + 3, 10))</f>
        <v>17/09/2025</v>
      </c>
      <c r="Q268">
        <v>1</v>
      </c>
    </row>
    <row r="269" spans="1:17" ht="16.5" x14ac:dyDescent="0.25">
      <c r="A269">
        <v>268</v>
      </c>
      <c r="B269" t="s">
        <v>849</v>
      </c>
      <c r="C269" s="4">
        <v>45905</v>
      </c>
      <c r="D269" s="2">
        <v>45917</v>
      </c>
      <c r="E269" s="2">
        <v>45918</v>
      </c>
      <c r="F269" t="s">
        <v>18</v>
      </c>
      <c r="G269" t="s">
        <v>171</v>
      </c>
      <c r="H269" t="s">
        <v>653</v>
      </c>
      <c r="I269" t="s">
        <v>272</v>
      </c>
      <c r="J269" t="s">
        <v>758</v>
      </c>
      <c r="K269" t="s">
        <v>433</v>
      </c>
      <c r="M269" t="s">
        <v>553</v>
      </c>
      <c r="N269" t="s">
        <v>567</v>
      </c>
      <c r="O269" t="str">
        <f t="shared" si="17"/>
        <v>S</v>
      </c>
      <c r="P269" t="str">
        <f t="shared" si="18"/>
        <v>17/09/2025</v>
      </c>
      <c r="Q269">
        <v>1</v>
      </c>
    </row>
    <row r="270" spans="1:17" ht="16.5" x14ac:dyDescent="0.25">
      <c r="A270">
        <v>269</v>
      </c>
      <c r="B270" t="s">
        <v>849</v>
      </c>
      <c r="C270" s="4">
        <v>45728</v>
      </c>
      <c r="D270" s="2">
        <v>45919</v>
      </c>
      <c r="E270" s="2">
        <v>45920</v>
      </c>
      <c r="F270" t="s">
        <v>22</v>
      </c>
      <c r="G270" t="s">
        <v>105</v>
      </c>
      <c r="H270" t="s">
        <v>596</v>
      </c>
      <c r="I270" t="s">
        <v>221</v>
      </c>
      <c r="J270" t="s">
        <v>694</v>
      </c>
      <c r="K270" t="s">
        <v>434</v>
      </c>
      <c r="M270" t="s">
        <v>553</v>
      </c>
      <c r="N270" t="s">
        <v>568</v>
      </c>
      <c r="O270" t="str">
        <f t="shared" si="17"/>
        <v>S</v>
      </c>
      <c r="P270" t="str">
        <f t="shared" si="18"/>
        <v>17/09/2025</v>
      </c>
      <c r="Q270">
        <v>1</v>
      </c>
    </row>
    <row r="271" spans="1:17" ht="16.5" x14ac:dyDescent="0.25">
      <c r="A271">
        <v>270</v>
      </c>
      <c r="B271" t="s">
        <v>849</v>
      </c>
      <c r="C271" s="4">
        <v>45728</v>
      </c>
      <c r="D271" s="2">
        <v>45919</v>
      </c>
      <c r="E271" s="2">
        <v>45920</v>
      </c>
      <c r="F271" t="s">
        <v>22</v>
      </c>
      <c r="G271" t="s">
        <v>105</v>
      </c>
      <c r="H271" t="s">
        <v>596</v>
      </c>
      <c r="I271" t="s">
        <v>272</v>
      </c>
      <c r="J271" t="s">
        <v>694</v>
      </c>
      <c r="K271" t="s">
        <v>434</v>
      </c>
      <c r="M271" t="s">
        <v>553</v>
      </c>
      <c r="N271" t="s">
        <v>568</v>
      </c>
      <c r="O271" t="str">
        <f t="shared" si="17"/>
        <v>S</v>
      </c>
      <c r="P271" t="str">
        <f t="shared" si="18"/>
        <v>17/09/2025</v>
      </c>
      <c r="Q271">
        <v>1</v>
      </c>
    </row>
    <row r="272" spans="1:17" ht="16.5" x14ac:dyDescent="0.25">
      <c r="A272">
        <v>271</v>
      </c>
      <c r="B272" t="s">
        <v>849</v>
      </c>
      <c r="C272" s="4">
        <v>45895</v>
      </c>
      <c r="D272" s="2">
        <v>45919</v>
      </c>
      <c r="E272" s="2">
        <v>45920</v>
      </c>
      <c r="F272" t="s">
        <v>64</v>
      </c>
      <c r="G272" t="s">
        <v>164</v>
      </c>
      <c r="H272" t="s">
        <v>648</v>
      </c>
      <c r="I272" t="s">
        <v>280</v>
      </c>
      <c r="J272" t="s">
        <v>750</v>
      </c>
      <c r="K272" t="s">
        <v>434</v>
      </c>
      <c r="M272" t="s">
        <v>553</v>
      </c>
      <c r="N272" t="s">
        <v>568</v>
      </c>
      <c r="O272" t="str">
        <f t="shared" si="17"/>
        <v>S</v>
      </c>
      <c r="P272" t="str">
        <f t="shared" si="18"/>
        <v>17/09/2025</v>
      </c>
      <c r="Q272">
        <v>1</v>
      </c>
    </row>
    <row r="273" spans="1:17" ht="16.5" x14ac:dyDescent="0.25">
      <c r="A273">
        <v>272</v>
      </c>
      <c r="B273" t="s">
        <v>849</v>
      </c>
      <c r="C273" s="4">
        <v>45895</v>
      </c>
      <c r="D273" s="2">
        <v>45919</v>
      </c>
      <c r="E273" s="2">
        <v>45920</v>
      </c>
      <c r="F273" t="s">
        <v>64</v>
      </c>
      <c r="G273" t="s">
        <v>164</v>
      </c>
      <c r="H273" t="s">
        <v>648</v>
      </c>
      <c r="I273" t="s">
        <v>272</v>
      </c>
      <c r="J273" t="s">
        <v>750</v>
      </c>
      <c r="K273" t="s">
        <v>434</v>
      </c>
      <c r="M273" t="s">
        <v>553</v>
      </c>
      <c r="N273" t="s">
        <v>568</v>
      </c>
      <c r="O273" t="str">
        <f t="shared" si="17"/>
        <v>S</v>
      </c>
      <c r="P273" t="str">
        <f t="shared" si="18"/>
        <v>17/09/2025</v>
      </c>
      <c r="Q273">
        <v>1</v>
      </c>
    </row>
    <row r="274" spans="1:17" ht="16.5" x14ac:dyDescent="0.25">
      <c r="A274">
        <v>273</v>
      </c>
      <c r="B274" t="s">
        <v>849</v>
      </c>
      <c r="C274" s="4">
        <v>45692</v>
      </c>
      <c r="D274" s="2">
        <v>45921</v>
      </c>
      <c r="E274" s="2">
        <v>45922</v>
      </c>
      <c r="F274" t="s">
        <v>11</v>
      </c>
      <c r="G274" t="s">
        <v>106</v>
      </c>
      <c r="H274" t="s">
        <v>597</v>
      </c>
      <c r="I274" t="s">
        <v>223</v>
      </c>
      <c r="J274" t="s">
        <v>696</v>
      </c>
      <c r="K274" t="s">
        <v>435</v>
      </c>
      <c r="M274" t="s">
        <v>553</v>
      </c>
      <c r="N274" t="s">
        <v>564</v>
      </c>
      <c r="O274" t="str">
        <f t="shared" si="17"/>
        <v>S</v>
      </c>
      <c r="P274" t="str">
        <f t="shared" si="18"/>
        <v>17/09/2025</v>
      </c>
      <c r="Q274">
        <v>1</v>
      </c>
    </row>
    <row r="275" spans="1:17" ht="16.5" x14ac:dyDescent="0.25">
      <c r="A275">
        <v>274</v>
      </c>
      <c r="B275" t="s">
        <v>849</v>
      </c>
      <c r="C275" s="4">
        <v>45692</v>
      </c>
      <c r="D275" s="2">
        <v>45921</v>
      </c>
      <c r="E275" s="2">
        <v>45922</v>
      </c>
      <c r="F275" t="s">
        <v>11</v>
      </c>
      <c r="G275" t="s">
        <v>106</v>
      </c>
      <c r="H275" t="s">
        <v>597</v>
      </c>
      <c r="I275" t="s">
        <v>272</v>
      </c>
      <c r="J275" t="s">
        <v>696</v>
      </c>
      <c r="K275" t="s">
        <v>435</v>
      </c>
      <c r="M275" t="s">
        <v>553</v>
      </c>
      <c r="N275" t="s">
        <v>564</v>
      </c>
      <c r="O275" t="str">
        <f t="shared" si="17"/>
        <v>S</v>
      </c>
      <c r="P275" t="str">
        <f t="shared" si="18"/>
        <v>17/09/2025</v>
      </c>
      <c r="Q275">
        <v>1</v>
      </c>
    </row>
    <row r="276" spans="1:17" ht="16.5" x14ac:dyDescent="0.25">
      <c r="A276">
        <v>275</v>
      </c>
      <c r="B276" t="s">
        <v>849</v>
      </c>
      <c r="C276" s="4">
        <v>45707</v>
      </c>
      <c r="D276" s="2">
        <v>45921</v>
      </c>
      <c r="E276" s="2">
        <v>45922</v>
      </c>
      <c r="F276" t="s">
        <v>31</v>
      </c>
      <c r="G276" t="s">
        <v>172</v>
      </c>
      <c r="H276" t="s">
        <v>654</v>
      </c>
      <c r="I276" t="s">
        <v>289</v>
      </c>
      <c r="J276" t="s">
        <v>759</v>
      </c>
      <c r="K276" t="s">
        <v>436</v>
      </c>
      <c r="M276" t="s">
        <v>554</v>
      </c>
      <c r="N276" t="s">
        <v>564</v>
      </c>
      <c r="O276" t="str">
        <f t="shared" si="17"/>
        <v>S</v>
      </c>
      <c r="P276" t="str">
        <f t="shared" si="18"/>
        <v>17/09/2026</v>
      </c>
      <c r="Q276">
        <v>1</v>
      </c>
    </row>
    <row r="277" spans="1:17" ht="16.5" x14ac:dyDescent="0.25">
      <c r="A277">
        <v>276</v>
      </c>
      <c r="B277" t="s">
        <v>849</v>
      </c>
      <c r="C277" s="4">
        <v>45707</v>
      </c>
      <c r="D277" s="2">
        <v>45921</v>
      </c>
      <c r="E277" s="2">
        <v>45922</v>
      </c>
      <c r="F277" t="s">
        <v>31</v>
      </c>
      <c r="G277" t="s">
        <v>172</v>
      </c>
      <c r="H277" t="s">
        <v>654</v>
      </c>
      <c r="I277" t="s">
        <v>272</v>
      </c>
      <c r="J277" t="s">
        <v>759</v>
      </c>
      <c r="K277" t="s">
        <v>436</v>
      </c>
      <c r="M277" t="s">
        <v>554</v>
      </c>
      <c r="N277" t="s">
        <v>564</v>
      </c>
      <c r="O277" t="str">
        <f t="shared" si="17"/>
        <v>S</v>
      </c>
      <c r="P277" t="str">
        <f t="shared" si="18"/>
        <v>17/09/2026</v>
      </c>
      <c r="Q277">
        <v>1</v>
      </c>
    </row>
    <row r="278" spans="1:17" ht="16.5" x14ac:dyDescent="0.25">
      <c r="A278">
        <v>277</v>
      </c>
      <c r="B278" t="s">
        <v>0</v>
      </c>
      <c r="C278" s="4">
        <v>45918</v>
      </c>
      <c r="D278" s="2">
        <v>45923</v>
      </c>
      <c r="E278" s="2">
        <v>45923</v>
      </c>
      <c r="F278" t="s">
        <v>66</v>
      </c>
      <c r="G278" t="s">
        <v>173</v>
      </c>
      <c r="H278" t="s">
        <v>655</v>
      </c>
      <c r="I278" t="s">
        <v>290</v>
      </c>
      <c r="J278" t="s">
        <v>760</v>
      </c>
      <c r="K278" t="s">
        <v>437</v>
      </c>
      <c r="M278" t="s">
        <v>577</v>
      </c>
      <c r="N278" t="s">
        <v>565</v>
      </c>
      <c r="O278" t="str">
        <f t="shared" si="17"/>
        <v>S</v>
      </c>
      <c r="P278" t="str">
        <f t="shared" si="18"/>
        <v/>
      </c>
      <c r="Q278">
        <v>1</v>
      </c>
    </row>
    <row r="279" spans="1:17" ht="16.5" x14ac:dyDescent="0.25">
      <c r="A279">
        <v>278</v>
      </c>
      <c r="B279" t="s">
        <v>0</v>
      </c>
      <c r="C279" s="4">
        <v>45918</v>
      </c>
      <c r="D279" s="2">
        <v>45923</v>
      </c>
      <c r="E279" s="2">
        <v>45923</v>
      </c>
      <c r="F279" t="s">
        <v>66</v>
      </c>
      <c r="G279" t="s">
        <v>173</v>
      </c>
      <c r="H279" t="s">
        <v>655</v>
      </c>
      <c r="I279" t="s">
        <v>203</v>
      </c>
      <c r="J279" t="s">
        <v>760</v>
      </c>
      <c r="K279" t="s">
        <v>437</v>
      </c>
      <c r="M279" t="s">
        <v>577</v>
      </c>
      <c r="N279" t="s">
        <v>565</v>
      </c>
      <c r="O279" t="str">
        <f t="shared" si="17"/>
        <v>S</v>
      </c>
      <c r="P279" t="str">
        <f t="shared" si="18"/>
        <v/>
      </c>
      <c r="Q279">
        <v>1</v>
      </c>
    </row>
    <row r="280" spans="1:17" ht="16.5" x14ac:dyDescent="0.25">
      <c r="A280">
        <v>279</v>
      </c>
      <c r="B280" t="s">
        <v>849</v>
      </c>
      <c r="C280" s="4">
        <v>45693</v>
      </c>
      <c r="D280" s="2">
        <v>45923</v>
      </c>
      <c r="E280" s="2">
        <v>45926</v>
      </c>
      <c r="F280" t="s">
        <v>13</v>
      </c>
      <c r="G280" t="s">
        <v>90</v>
      </c>
      <c r="H280" t="s">
        <v>583</v>
      </c>
      <c r="I280" t="s">
        <v>206</v>
      </c>
      <c r="J280" t="s">
        <v>681</v>
      </c>
      <c r="K280" t="s">
        <v>438</v>
      </c>
      <c r="M280" t="s">
        <v>553</v>
      </c>
      <c r="N280" t="s">
        <v>566</v>
      </c>
      <c r="O280" t="str">
        <f t="shared" si="17"/>
        <v>S</v>
      </c>
      <c r="P280" t="str">
        <f t="shared" si="18"/>
        <v>17/09/2025</v>
      </c>
      <c r="Q280">
        <v>1</v>
      </c>
    </row>
    <row r="281" spans="1:17" ht="16.5" x14ac:dyDescent="0.25">
      <c r="A281">
        <v>280</v>
      </c>
      <c r="B281" t="s">
        <v>849</v>
      </c>
      <c r="C281" s="4">
        <v>45693</v>
      </c>
      <c r="D281" s="2">
        <v>45923</v>
      </c>
      <c r="E281" s="2">
        <v>45926</v>
      </c>
      <c r="F281" t="s">
        <v>13</v>
      </c>
      <c r="G281" t="s">
        <v>90</v>
      </c>
      <c r="H281" t="s">
        <v>583</v>
      </c>
      <c r="I281" t="s">
        <v>272</v>
      </c>
      <c r="J281" t="s">
        <v>681</v>
      </c>
      <c r="K281" t="s">
        <v>438</v>
      </c>
      <c r="M281" t="s">
        <v>553</v>
      </c>
      <c r="N281" t="s">
        <v>566</v>
      </c>
      <c r="O281" t="str">
        <f t="shared" si="17"/>
        <v>S</v>
      </c>
      <c r="P281" t="str">
        <f t="shared" si="18"/>
        <v>17/09/2025</v>
      </c>
      <c r="Q281">
        <v>1</v>
      </c>
    </row>
    <row r="282" spans="1:17" ht="16.5" x14ac:dyDescent="0.25">
      <c r="A282">
        <v>281</v>
      </c>
      <c r="B282" t="s">
        <v>849</v>
      </c>
      <c r="C282" s="4">
        <v>45895</v>
      </c>
      <c r="D282" s="2">
        <v>45923</v>
      </c>
      <c r="E282" s="2">
        <v>45924</v>
      </c>
      <c r="F282" t="s">
        <v>64</v>
      </c>
      <c r="G282" t="s">
        <v>164</v>
      </c>
      <c r="H282" t="s">
        <v>648</v>
      </c>
      <c r="I282" t="s">
        <v>280</v>
      </c>
      <c r="J282" t="s">
        <v>750</v>
      </c>
      <c r="K282" t="s">
        <v>439</v>
      </c>
      <c r="M282" t="s">
        <v>553</v>
      </c>
      <c r="N282" t="s">
        <v>566</v>
      </c>
      <c r="O282" t="str">
        <f t="shared" si="17"/>
        <v>S</v>
      </c>
      <c r="P282" t="str">
        <f t="shared" si="18"/>
        <v>17/09/2025</v>
      </c>
      <c r="Q282">
        <v>1</v>
      </c>
    </row>
    <row r="283" spans="1:17" ht="16.5" x14ac:dyDescent="0.25">
      <c r="A283">
        <v>282</v>
      </c>
      <c r="B283" t="s">
        <v>849</v>
      </c>
      <c r="C283" s="4">
        <v>45895</v>
      </c>
      <c r="D283" s="2">
        <v>45923</v>
      </c>
      <c r="E283" s="2">
        <v>45924</v>
      </c>
      <c r="F283" t="s">
        <v>64</v>
      </c>
      <c r="G283" t="s">
        <v>164</v>
      </c>
      <c r="H283" t="s">
        <v>648</v>
      </c>
      <c r="I283" t="s">
        <v>272</v>
      </c>
      <c r="J283" t="s">
        <v>750</v>
      </c>
      <c r="K283" t="s">
        <v>439</v>
      </c>
      <c r="M283" t="s">
        <v>553</v>
      </c>
      <c r="N283" t="s">
        <v>566</v>
      </c>
      <c r="O283" t="str">
        <f t="shared" si="17"/>
        <v>S</v>
      </c>
      <c r="P283" t="str">
        <f t="shared" si="18"/>
        <v>17/09/2025</v>
      </c>
      <c r="Q283">
        <v>1</v>
      </c>
    </row>
    <row r="284" spans="1:17" ht="16.5" x14ac:dyDescent="0.25">
      <c r="A284">
        <v>283</v>
      </c>
      <c r="B284" t="s">
        <v>849</v>
      </c>
      <c r="C284" s="4">
        <v>45923</v>
      </c>
      <c r="D284" s="2">
        <v>45923</v>
      </c>
      <c r="E284" s="2">
        <v>45924</v>
      </c>
      <c r="F284" t="s">
        <v>58</v>
      </c>
      <c r="G284" t="s">
        <v>174</v>
      </c>
      <c r="H284" t="s">
        <v>648</v>
      </c>
      <c r="I284" t="s">
        <v>291</v>
      </c>
      <c r="J284" t="s">
        <v>761</v>
      </c>
      <c r="K284" t="s">
        <v>440</v>
      </c>
      <c r="M284" t="s">
        <v>553</v>
      </c>
      <c r="N284" t="s">
        <v>566</v>
      </c>
      <c r="O284" t="str">
        <f t="shared" si="17"/>
        <v>S</v>
      </c>
      <c r="P284" t="str">
        <f t="shared" si="18"/>
        <v>17/09/2025</v>
      </c>
      <c r="Q284">
        <v>1</v>
      </c>
    </row>
    <row r="285" spans="1:17" ht="16.5" x14ac:dyDescent="0.25">
      <c r="A285">
        <v>284</v>
      </c>
      <c r="B285" t="s">
        <v>849</v>
      </c>
      <c r="C285" s="4">
        <v>45923</v>
      </c>
      <c r="D285" s="2">
        <v>45923</v>
      </c>
      <c r="E285" s="2">
        <v>45924</v>
      </c>
      <c r="F285" t="s">
        <v>58</v>
      </c>
      <c r="G285" t="s">
        <v>174</v>
      </c>
      <c r="H285" t="s">
        <v>648</v>
      </c>
      <c r="I285" t="s">
        <v>272</v>
      </c>
      <c r="J285" t="s">
        <v>761</v>
      </c>
      <c r="K285" t="s">
        <v>440</v>
      </c>
      <c r="M285" t="s">
        <v>553</v>
      </c>
      <c r="N285" t="s">
        <v>566</v>
      </c>
      <c r="O285" t="str">
        <f t="shared" si="17"/>
        <v>S</v>
      </c>
      <c r="P285" t="str">
        <f t="shared" si="18"/>
        <v>17/09/2025</v>
      </c>
      <c r="Q285">
        <v>1</v>
      </c>
    </row>
    <row r="286" spans="1:17" ht="16.5" x14ac:dyDescent="0.25">
      <c r="A286">
        <v>285</v>
      </c>
      <c r="B286" t="s">
        <v>849</v>
      </c>
      <c r="C286" s="4">
        <v>45838</v>
      </c>
      <c r="D286" s="2">
        <v>45925</v>
      </c>
      <c r="E286" s="2">
        <v>45926</v>
      </c>
      <c r="F286" t="s">
        <v>67</v>
      </c>
      <c r="G286" t="s">
        <v>175</v>
      </c>
      <c r="H286" t="s">
        <v>656</v>
      </c>
      <c r="I286" t="s">
        <v>292</v>
      </c>
      <c r="J286" t="s">
        <v>762</v>
      </c>
      <c r="K286" t="s">
        <v>441</v>
      </c>
      <c r="M286" t="s">
        <v>553</v>
      </c>
      <c r="N286" t="s">
        <v>566</v>
      </c>
      <c r="O286" t="str">
        <f t="shared" si="17"/>
        <v>S</v>
      </c>
      <c r="P286" t="str">
        <f t="shared" si="18"/>
        <v>17/09/2025</v>
      </c>
      <c r="Q286">
        <v>1</v>
      </c>
    </row>
    <row r="287" spans="1:17" ht="16.5" x14ac:dyDescent="0.25">
      <c r="A287">
        <v>286</v>
      </c>
      <c r="B287" t="s">
        <v>849</v>
      </c>
      <c r="C287" s="4">
        <v>45838</v>
      </c>
      <c r="D287" s="2">
        <v>45925</v>
      </c>
      <c r="E287" s="2">
        <v>45926</v>
      </c>
      <c r="F287" t="s">
        <v>67</v>
      </c>
      <c r="G287" t="s">
        <v>175</v>
      </c>
      <c r="H287" t="s">
        <v>656</v>
      </c>
      <c r="I287" t="s">
        <v>272</v>
      </c>
      <c r="J287" t="s">
        <v>762</v>
      </c>
      <c r="K287" t="s">
        <v>441</v>
      </c>
      <c r="M287" t="s">
        <v>553</v>
      </c>
      <c r="N287" t="s">
        <v>566</v>
      </c>
      <c r="O287" t="str">
        <f t="shared" si="17"/>
        <v>S</v>
      </c>
      <c r="P287" t="str">
        <f t="shared" si="18"/>
        <v>17/09/2025</v>
      </c>
      <c r="Q287">
        <v>1</v>
      </c>
    </row>
    <row r="288" spans="1:17" ht="16.5" x14ac:dyDescent="0.25">
      <c r="A288">
        <v>287</v>
      </c>
      <c r="B288" t="s">
        <v>849</v>
      </c>
      <c r="C288" s="4">
        <v>45891</v>
      </c>
      <c r="D288" s="2">
        <v>45925</v>
      </c>
      <c r="E288" s="2">
        <v>45926</v>
      </c>
      <c r="F288" t="s">
        <v>18</v>
      </c>
      <c r="G288" t="s">
        <v>176</v>
      </c>
      <c r="H288" t="s">
        <v>657</v>
      </c>
      <c r="I288" t="s">
        <v>293</v>
      </c>
      <c r="J288" t="s">
        <v>763</v>
      </c>
      <c r="K288" t="s">
        <v>442</v>
      </c>
      <c r="M288" t="s">
        <v>553</v>
      </c>
      <c r="N288" t="s">
        <v>566</v>
      </c>
      <c r="O288" t="str">
        <f t="shared" si="17"/>
        <v>S</v>
      </c>
      <c r="P288" t="str">
        <f t="shared" si="18"/>
        <v>17/09/2025</v>
      </c>
      <c r="Q288">
        <v>1</v>
      </c>
    </row>
    <row r="289" spans="1:17" ht="16.5" x14ac:dyDescent="0.25">
      <c r="A289">
        <v>288</v>
      </c>
      <c r="B289" t="s">
        <v>849</v>
      </c>
      <c r="C289" s="4">
        <v>45891</v>
      </c>
      <c r="D289" s="2">
        <v>45925</v>
      </c>
      <c r="E289" s="2">
        <v>45926</v>
      </c>
      <c r="F289" t="s">
        <v>18</v>
      </c>
      <c r="G289" t="s">
        <v>176</v>
      </c>
      <c r="H289" t="s">
        <v>657</v>
      </c>
      <c r="I289" t="s">
        <v>272</v>
      </c>
      <c r="J289" t="s">
        <v>763</v>
      </c>
      <c r="K289" t="s">
        <v>442</v>
      </c>
      <c r="M289" t="s">
        <v>553</v>
      </c>
      <c r="N289" t="s">
        <v>566</v>
      </c>
      <c r="O289" t="str">
        <f t="shared" si="17"/>
        <v>S</v>
      </c>
      <c r="P289" t="str">
        <f t="shared" si="18"/>
        <v>17/09/2025</v>
      </c>
      <c r="Q289">
        <v>1</v>
      </c>
    </row>
    <row r="290" spans="1:17" ht="16.5" x14ac:dyDescent="0.25">
      <c r="A290">
        <v>289</v>
      </c>
      <c r="B290" t="s">
        <v>0</v>
      </c>
      <c r="C290" s="4">
        <v>45918</v>
      </c>
      <c r="D290" s="2">
        <v>45926</v>
      </c>
      <c r="E290" s="2">
        <v>45926</v>
      </c>
      <c r="F290" t="s">
        <v>68</v>
      </c>
      <c r="G290" t="s">
        <v>177</v>
      </c>
      <c r="H290" t="s">
        <v>658</v>
      </c>
      <c r="I290" t="s">
        <v>294</v>
      </c>
      <c r="J290" t="s">
        <v>764</v>
      </c>
      <c r="K290" t="s">
        <v>443</v>
      </c>
      <c r="M290" t="s">
        <v>577</v>
      </c>
      <c r="N290" t="s">
        <v>565</v>
      </c>
      <c r="O290" t="str">
        <f t="shared" si="17"/>
        <v>S</v>
      </c>
      <c r="P290" t="str">
        <f t="shared" si="18"/>
        <v/>
      </c>
      <c r="Q290">
        <v>1</v>
      </c>
    </row>
    <row r="291" spans="1:17" ht="16.5" x14ac:dyDescent="0.25">
      <c r="A291">
        <v>290</v>
      </c>
      <c r="B291" t="s">
        <v>0</v>
      </c>
      <c r="C291" s="4">
        <v>45918</v>
      </c>
      <c r="D291" s="2">
        <v>45926</v>
      </c>
      <c r="E291" s="2">
        <v>45926</v>
      </c>
      <c r="F291" t="s">
        <v>68</v>
      </c>
      <c r="G291" t="s">
        <v>177</v>
      </c>
      <c r="H291" t="s">
        <v>658</v>
      </c>
      <c r="I291" t="s">
        <v>295</v>
      </c>
      <c r="J291" t="s">
        <v>764</v>
      </c>
      <c r="K291" t="s">
        <v>443</v>
      </c>
      <c r="M291" t="s">
        <v>577</v>
      </c>
      <c r="N291" t="s">
        <v>565</v>
      </c>
      <c r="O291" t="str">
        <f t="shared" si="17"/>
        <v>S</v>
      </c>
      <c r="P291" t="str">
        <f t="shared" si="18"/>
        <v/>
      </c>
      <c r="Q291">
        <v>1</v>
      </c>
    </row>
    <row r="292" spans="1:17" ht="16.5" x14ac:dyDescent="0.25">
      <c r="A292">
        <v>291</v>
      </c>
      <c r="B292" t="s">
        <v>849</v>
      </c>
      <c r="C292" s="4">
        <v>45692</v>
      </c>
      <c r="D292" s="2">
        <v>45927</v>
      </c>
      <c r="E292" s="2">
        <v>45928</v>
      </c>
      <c r="F292" t="s">
        <v>11</v>
      </c>
      <c r="G292" t="s">
        <v>106</v>
      </c>
      <c r="H292" t="s">
        <v>597</v>
      </c>
      <c r="I292" t="s">
        <v>223</v>
      </c>
      <c r="J292" t="s">
        <v>696</v>
      </c>
      <c r="K292" t="s">
        <v>444</v>
      </c>
      <c r="M292" t="s">
        <v>553</v>
      </c>
      <c r="N292" t="s">
        <v>567</v>
      </c>
      <c r="O292" t="str">
        <f t="shared" si="17"/>
        <v>S</v>
      </c>
      <c r="P292" t="str">
        <f t="shared" si="18"/>
        <v>17/09/2025</v>
      </c>
      <c r="Q292">
        <v>1</v>
      </c>
    </row>
    <row r="293" spans="1:17" ht="16.5" x14ac:dyDescent="0.25">
      <c r="A293">
        <v>292</v>
      </c>
      <c r="B293" t="s">
        <v>849</v>
      </c>
      <c r="C293" s="4">
        <v>45692</v>
      </c>
      <c r="D293" s="2">
        <v>45927</v>
      </c>
      <c r="E293" s="2">
        <v>45928</v>
      </c>
      <c r="F293" t="s">
        <v>11</v>
      </c>
      <c r="G293" t="s">
        <v>106</v>
      </c>
      <c r="H293" t="s">
        <v>597</v>
      </c>
      <c r="I293" t="s">
        <v>272</v>
      </c>
      <c r="J293" t="s">
        <v>696</v>
      </c>
      <c r="K293" t="s">
        <v>444</v>
      </c>
      <c r="M293" t="s">
        <v>553</v>
      </c>
      <c r="N293" t="s">
        <v>567</v>
      </c>
      <c r="O293" t="str">
        <f t="shared" si="17"/>
        <v>S</v>
      </c>
      <c r="P293" t="str">
        <f t="shared" si="18"/>
        <v>17/09/2025</v>
      </c>
      <c r="Q293">
        <v>1</v>
      </c>
    </row>
    <row r="294" spans="1:17" ht="16.5" x14ac:dyDescent="0.25">
      <c r="A294">
        <v>293</v>
      </c>
      <c r="B294" t="s">
        <v>849</v>
      </c>
      <c r="C294" s="4">
        <v>45919</v>
      </c>
      <c r="D294" s="2">
        <v>45927</v>
      </c>
      <c r="E294" s="2">
        <v>45928</v>
      </c>
      <c r="F294" t="s">
        <v>69</v>
      </c>
      <c r="G294" t="s">
        <v>178</v>
      </c>
      <c r="H294" t="s">
        <v>659</v>
      </c>
      <c r="I294" t="s">
        <v>296</v>
      </c>
      <c r="J294" t="s">
        <v>765</v>
      </c>
      <c r="K294" t="s">
        <v>445</v>
      </c>
      <c r="M294" t="s">
        <v>553</v>
      </c>
      <c r="N294" t="s">
        <v>567</v>
      </c>
      <c r="O294" t="str">
        <f t="shared" si="17"/>
        <v>S</v>
      </c>
      <c r="P294" t="str">
        <f t="shared" si="18"/>
        <v>17/09/2025</v>
      </c>
      <c r="Q294">
        <v>1</v>
      </c>
    </row>
    <row r="295" spans="1:17" ht="16.5" x14ac:dyDescent="0.25">
      <c r="A295">
        <v>294</v>
      </c>
      <c r="B295" t="s">
        <v>849</v>
      </c>
      <c r="C295" s="4">
        <v>45919</v>
      </c>
      <c r="D295" s="2">
        <v>45927</v>
      </c>
      <c r="E295" s="2">
        <v>45928</v>
      </c>
      <c r="F295" t="s">
        <v>69</v>
      </c>
      <c r="G295" t="s">
        <v>178</v>
      </c>
      <c r="H295" t="s">
        <v>659</v>
      </c>
      <c r="I295" t="s">
        <v>272</v>
      </c>
      <c r="J295" t="s">
        <v>765</v>
      </c>
      <c r="K295" t="s">
        <v>445</v>
      </c>
      <c r="M295" t="s">
        <v>553</v>
      </c>
      <c r="N295" t="s">
        <v>567</v>
      </c>
      <c r="O295" t="str">
        <f t="shared" si="17"/>
        <v>S</v>
      </c>
      <c r="P295" t="str">
        <f t="shared" si="18"/>
        <v>17/09/2025</v>
      </c>
      <c r="Q295">
        <v>1</v>
      </c>
    </row>
    <row r="296" spans="1:17" ht="16.5" x14ac:dyDescent="0.25">
      <c r="A296">
        <v>295</v>
      </c>
      <c r="B296" t="s">
        <v>0</v>
      </c>
      <c r="C296" s="4">
        <v>45919</v>
      </c>
      <c r="D296" s="2">
        <v>45927</v>
      </c>
      <c r="E296" s="2">
        <v>45928</v>
      </c>
      <c r="F296" t="s">
        <v>36</v>
      </c>
      <c r="G296" t="s">
        <v>179</v>
      </c>
      <c r="H296" t="s">
        <v>659</v>
      </c>
      <c r="I296" t="s">
        <v>297</v>
      </c>
      <c r="J296" t="s">
        <v>766</v>
      </c>
      <c r="K296" t="s">
        <v>446</v>
      </c>
      <c r="M296" t="s">
        <v>577</v>
      </c>
      <c r="N296" t="s">
        <v>565</v>
      </c>
      <c r="O296" t="str">
        <f t="shared" si="17"/>
        <v>S</v>
      </c>
      <c r="P296" t="str">
        <f t="shared" si="18"/>
        <v/>
      </c>
      <c r="Q296">
        <v>1</v>
      </c>
    </row>
    <row r="297" spans="1:17" ht="16.5" x14ac:dyDescent="0.25">
      <c r="A297">
        <v>296</v>
      </c>
      <c r="B297" t="s">
        <v>0</v>
      </c>
      <c r="C297" s="4">
        <v>45919</v>
      </c>
      <c r="D297" s="2">
        <v>45927</v>
      </c>
      <c r="E297" s="2">
        <v>45928</v>
      </c>
      <c r="F297" t="s">
        <v>36</v>
      </c>
      <c r="G297" t="s">
        <v>179</v>
      </c>
      <c r="H297" t="s">
        <v>659</v>
      </c>
      <c r="I297" t="s">
        <v>272</v>
      </c>
      <c r="J297" t="s">
        <v>766</v>
      </c>
      <c r="K297" t="s">
        <v>446</v>
      </c>
      <c r="M297" t="s">
        <v>577</v>
      </c>
      <c r="N297" t="s">
        <v>565</v>
      </c>
      <c r="O297" t="str">
        <f t="shared" si="17"/>
        <v>S</v>
      </c>
      <c r="P297" t="str">
        <f t="shared" si="18"/>
        <v/>
      </c>
      <c r="Q297">
        <v>1</v>
      </c>
    </row>
    <row r="298" spans="1:17" ht="16.5" x14ac:dyDescent="0.25">
      <c r="A298">
        <v>297</v>
      </c>
      <c r="B298" t="s">
        <v>0</v>
      </c>
      <c r="C298" s="4">
        <v>45916</v>
      </c>
      <c r="D298" s="2">
        <v>45930</v>
      </c>
      <c r="E298" s="2">
        <v>45931</v>
      </c>
      <c r="F298" t="s">
        <v>70</v>
      </c>
      <c r="G298" t="s">
        <v>180</v>
      </c>
      <c r="H298" t="s">
        <v>660</v>
      </c>
      <c r="I298" t="s">
        <v>298</v>
      </c>
      <c r="J298" t="s">
        <v>767</v>
      </c>
      <c r="K298" t="s">
        <v>447</v>
      </c>
      <c r="M298" t="s">
        <v>555</v>
      </c>
      <c r="N298" t="s">
        <v>565</v>
      </c>
      <c r="O298" t="str">
        <f t="shared" si="17"/>
        <v>S</v>
      </c>
      <c r="P298" t="str">
        <f t="shared" si="18"/>
        <v/>
      </c>
      <c r="Q298">
        <v>1</v>
      </c>
    </row>
    <row r="299" spans="1:17" ht="16.5" x14ac:dyDescent="0.25">
      <c r="A299">
        <v>298</v>
      </c>
      <c r="B299" t="s">
        <v>0</v>
      </c>
      <c r="C299" s="4">
        <v>45916</v>
      </c>
      <c r="D299" s="2">
        <v>45930</v>
      </c>
      <c r="E299" s="2">
        <v>45931</v>
      </c>
      <c r="F299" t="s">
        <v>70</v>
      </c>
      <c r="G299" t="s">
        <v>180</v>
      </c>
      <c r="H299" t="s">
        <v>660</v>
      </c>
      <c r="I299" t="s">
        <v>272</v>
      </c>
      <c r="J299" t="s">
        <v>767</v>
      </c>
      <c r="K299" t="s">
        <v>447</v>
      </c>
      <c r="M299" t="s">
        <v>555</v>
      </c>
      <c r="N299" t="s">
        <v>565</v>
      </c>
      <c r="O299" t="str">
        <f t="shared" si="17"/>
        <v>S</v>
      </c>
      <c r="P299" t="str">
        <f t="shared" si="18"/>
        <v/>
      </c>
      <c r="Q299">
        <v>1</v>
      </c>
    </row>
    <row r="300" spans="1:17" ht="16.5" x14ac:dyDescent="0.25">
      <c r="A300">
        <v>299</v>
      </c>
      <c r="B300" t="s">
        <v>849</v>
      </c>
      <c r="C300" s="4">
        <v>45895</v>
      </c>
      <c r="D300" s="2">
        <v>45931</v>
      </c>
      <c r="E300" s="2">
        <v>45932</v>
      </c>
      <c r="F300" t="s">
        <v>64</v>
      </c>
      <c r="G300" t="s">
        <v>164</v>
      </c>
      <c r="H300" t="s">
        <v>648</v>
      </c>
      <c r="I300" t="s">
        <v>280</v>
      </c>
      <c r="J300" t="s">
        <v>750</v>
      </c>
      <c r="K300" t="s">
        <v>448</v>
      </c>
      <c r="M300" t="s">
        <v>556</v>
      </c>
      <c r="N300" t="s">
        <v>575</v>
      </c>
      <c r="O300" t="str">
        <f t="shared" ref="O300:O307" si="19">IF(OR(ISNUMBER(FIND("ENTREGUES",M300)),N300="Preto",N300="Cinza"),"S","N")</f>
        <v>S</v>
      </c>
      <c r="P300" t="str">
        <f t="shared" ref="P300:P307" si="20">IF(N300="Preto", "", MID(M300, FIND("em ", M300) + 3, 10))</f>
        <v>17/09/2025</v>
      </c>
      <c r="Q300">
        <v>1</v>
      </c>
    </row>
    <row r="301" spans="1:17" ht="16.5" x14ac:dyDescent="0.25">
      <c r="A301">
        <v>300</v>
      </c>
      <c r="B301" t="s">
        <v>849</v>
      </c>
      <c r="C301" s="4">
        <v>45895</v>
      </c>
      <c r="D301" s="2">
        <v>45931</v>
      </c>
      <c r="E301" s="2">
        <v>45932</v>
      </c>
      <c r="F301" t="s">
        <v>64</v>
      </c>
      <c r="G301" t="s">
        <v>164</v>
      </c>
      <c r="H301" t="s">
        <v>648</v>
      </c>
      <c r="I301" t="s">
        <v>272</v>
      </c>
      <c r="J301" t="s">
        <v>750</v>
      </c>
      <c r="K301" t="s">
        <v>448</v>
      </c>
      <c r="M301" t="s">
        <v>556</v>
      </c>
      <c r="N301" t="s">
        <v>575</v>
      </c>
      <c r="O301" t="str">
        <f t="shared" si="19"/>
        <v>S</v>
      </c>
      <c r="P301" t="str">
        <f t="shared" si="20"/>
        <v>17/09/2025</v>
      </c>
      <c r="Q301">
        <v>1</v>
      </c>
    </row>
    <row r="302" spans="1:17" ht="16.5" x14ac:dyDescent="0.25">
      <c r="A302">
        <v>301</v>
      </c>
      <c r="B302" t="s">
        <v>849</v>
      </c>
      <c r="C302" s="4">
        <v>45923</v>
      </c>
      <c r="D302" s="2">
        <v>45931</v>
      </c>
      <c r="E302" s="2">
        <v>45932</v>
      </c>
      <c r="F302" t="s">
        <v>58</v>
      </c>
      <c r="G302" t="s">
        <v>174</v>
      </c>
      <c r="H302" t="s">
        <v>648</v>
      </c>
      <c r="I302" t="s">
        <v>291</v>
      </c>
      <c r="J302" t="s">
        <v>761</v>
      </c>
      <c r="K302" t="s">
        <v>448</v>
      </c>
      <c r="M302" t="s">
        <v>556</v>
      </c>
      <c r="N302" t="s">
        <v>575</v>
      </c>
      <c r="O302" t="str">
        <f t="shared" si="19"/>
        <v>S</v>
      </c>
      <c r="P302" t="str">
        <f t="shared" si="20"/>
        <v>17/09/2025</v>
      </c>
      <c r="Q302">
        <v>1</v>
      </c>
    </row>
    <row r="303" spans="1:17" ht="16.5" x14ac:dyDescent="0.25">
      <c r="A303">
        <v>302</v>
      </c>
      <c r="B303" t="s">
        <v>849</v>
      </c>
      <c r="C303" s="4">
        <v>45923</v>
      </c>
      <c r="D303" s="2">
        <v>45931</v>
      </c>
      <c r="E303" s="2">
        <v>45932</v>
      </c>
      <c r="F303" t="s">
        <v>58</v>
      </c>
      <c r="G303" t="s">
        <v>174</v>
      </c>
      <c r="H303" t="s">
        <v>648</v>
      </c>
      <c r="I303" t="s">
        <v>272</v>
      </c>
      <c r="J303" t="s">
        <v>761</v>
      </c>
      <c r="K303" t="s">
        <v>448</v>
      </c>
      <c r="M303" t="s">
        <v>556</v>
      </c>
      <c r="N303" t="s">
        <v>575</v>
      </c>
      <c r="O303" t="str">
        <f t="shared" si="19"/>
        <v>S</v>
      </c>
      <c r="P303" t="str">
        <f t="shared" si="20"/>
        <v>17/09/2025</v>
      </c>
      <c r="Q303">
        <v>1</v>
      </c>
    </row>
    <row r="304" spans="1:17" ht="16.5" x14ac:dyDescent="0.25">
      <c r="A304">
        <v>303</v>
      </c>
      <c r="B304" t="s">
        <v>849</v>
      </c>
      <c r="C304" s="4">
        <v>45693</v>
      </c>
      <c r="D304" s="2">
        <v>45936</v>
      </c>
      <c r="E304" s="2">
        <v>45937</v>
      </c>
      <c r="F304" t="s">
        <v>13</v>
      </c>
      <c r="G304" t="s">
        <v>90</v>
      </c>
      <c r="H304" t="s">
        <v>583</v>
      </c>
      <c r="I304" t="s">
        <v>206</v>
      </c>
      <c r="J304" t="s">
        <v>681</v>
      </c>
      <c r="K304" t="s">
        <v>449</v>
      </c>
      <c r="M304" t="s">
        <v>556</v>
      </c>
      <c r="N304" t="s">
        <v>567</v>
      </c>
      <c r="O304" t="str">
        <f t="shared" si="19"/>
        <v>S</v>
      </c>
      <c r="P304" t="str">
        <f t="shared" si="20"/>
        <v>17/09/2025</v>
      </c>
      <c r="Q304">
        <v>1</v>
      </c>
    </row>
    <row r="305" spans="1:17" ht="16.5" x14ac:dyDescent="0.25">
      <c r="A305">
        <v>304</v>
      </c>
      <c r="B305" t="s">
        <v>849</v>
      </c>
      <c r="C305" s="4">
        <v>45693</v>
      </c>
      <c r="D305" s="2">
        <v>45936</v>
      </c>
      <c r="E305" s="2">
        <v>45937</v>
      </c>
      <c r="F305" t="s">
        <v>13</v>
      </c>
      <c r="G305" t="s">
        <v>90</v>
      </c>
      <c r="H305" t="s">
        <v>583</v>
      </c>
      <c r="I305" t="s">
        <v>272</v>
      </c>
      <c r="J305" t="s">
        <v>681</v>
      </c>
      <c r="K305" t="s">
        <v>449</v>
      </c>
      <c r="M305" t="s">
        <v>556</v>
      </c>
      <c r="N305" t="s">
        <v>567</v>
      </c>
      <c r="O305" t="str">
        <f t="shared" si="19"/>
        <v>S</v>
      </c>
      <c r="P305" t="str">
        <f t="shared" si="20"/>
        <v>17/09/2025</v>
      </c>
      <c r="Q305">
        <v>1</v>
      </c>
    </row>
    <row r="306" spans="1:17" ht="16.5" x14ac:dyDescent="0.25">
      <c r="A306">
        <v>305</v>
      </c>
      <c r="B306" t="s">
        <v>849</v>
      </c>
      <c r="C306" s="4">
        <v>45916</v>
      </c>
      <c r="D306" s="2">
        <v>45938</v>
      </c>
      <c r="E306" s="2">
        <v>45938</v>
      </c>
      <c r="F306" t="s">
        <v>9</v>
      </c>
      <c r="G306" t="s">
        <v>181</v>
      </c>
      <c r="H306" t="s">
        <v>583</v>
      </c>
      <c r="I306" t="s">
        <v>299</v>
      </c>
      <c r="J306" t="s">
        <v>768</v>
      </c>
      <c r="K306" t="s">
        <v>450</v>
      </c>
      <c r="M306" t="s">
        <v>557</v>
      </c>
      <c r="N306" t="s">
        <v>575</v>
      </c>
      <c r="O306" t="str">
        <f t="shared" si="19"/>
        <v>S</v>
      </c>
      <c r="P306" t="str">
        <f t="shared" si="20"/>
        <v>08/10/2025</v>
      </c>
      <c r="Q306">
        <v>1</v>
      </c>
    </row>
    <row r="307" spans="1:17" ht="16.5" x14ac:dyDescent="0.25">
      <c r="A307">
        <v>306</v>
      </c>
      <c r="B307" t="s">
        <v>849</v>
      </c>
      <c r="C307" s="4">
        <v>45916</v>
      </c>
      <c r="D307" s="2">
        <v>45938</v>
      </c>
      <c r="E307" s="2">
        <v>45938</v>
      </c>
      <c r="F307" t="s">
        <v>9</v>
      </c>
      <c r="G307" t="s">
        <v>181</v>
      </c>
      <c r="H307" t="s">
        <v>583</v>
      </c>
      <c r="I307" t="s">
        <v>208</v>
      </c>
      <c r="J307" t="s">
        <v>768</v>
      </c>
      <c r="K307" t="s">
        <v>450</v>
      </c>
      <c r="M307" t="s">
        <v>557</v>
      </c>
      <c r="N307" t="s">
        <v>575</v>
      </c>
      <c r="O307" t="str">
        <f t="shared" si="19"/>
        <v>S</v>
      </c>
      <c r="P307" t="str">
        <f t="shared" si="20"/>
        <v>08/10/2025</v>
      </c>
      <c r="Q307">
        <v>1</v>
      </c>
    </row>
    <row r="308" spans="1:17" ht="16.5" x14ac:dyDescent="0.25">
      <c r="A308">
        <v>307</v>
      </c>
      <c r="B308" t="s">
        <v>849</v>
      </c>
      <c r="C308" s="4">
        <v>45693</v>
      </c>
      <c r="D308" s="2">
        <v>45939</v>
      </c>
      <c r="E308" s="2">
        <v>45940</v>
      </c>
      <c r="F308" t="s">
        <v>13</v>
      </c>
      <c r="G308" t="s">
        <v>90</v>
      </c>
      <c r="H308" t="s">
        <v>583</v>
      </c>
      <c r="I308" t="s">
        <v>206</v>
      </c>
      <c r="J308" t="s">
        <v>681</v>
      </c>
      <c r="K308" t="s">
        <v>451</v>
      </c>
      <c r="M308" t="s">
        <v>558</v>
      </c>
      <c r="N308" t="s">
        <v>576</v>
      </c>
      <c r="O308" t="s">
        <v>808</v>
      </c>
      <c r="Q308">
        <v>1</v>
      </c>
    </row>
    <row r="309" spans="1:17" ht="16.5" x14ac:dyDescent="0.25">
      <c r="A309">
        <v>308</v>
      </c>
      <c r="B309" t="s">
        <v>849</v>
      </c>
      <c r="C309" s="4">
        <v>45693</v>
      </c>
      <c r="D309" s="2">
        <v>45939</v>
      </c>
      <c r="E309" s="2">
        <v>45940</v>
      </c>
      <c r="F309" t="s">
        <v>13</v>
      </c>
      <c r="G309" t="s">
        <v>90</v>
      </c>
      <c r="H309" t="s">
        <v>583</v>
      </c>
      <c r="I309" t="s">
        <v>272</v>
      </c>
      <c r="J309" t="s">
        <v>681</v>
      </c>
      <c r="K309" t="s">
        <v>451</v>
      </c>
      <c r="M309" t="s">
        <v>558</v>
      </c>
      <c r="N309" t="s">
        <v>576</v>
      </c>
      <c r="O309" t="s">
        <v>808</v>
      </c>
      <c r="Q309">
        <v>1</v>
      </c>
    </row>
    <row r="310" spans="1:17" ht="16.5" x14ac:dyDescent="0.25">
      <c r="A310">
        <v>309</v>
      </c>
      <c r="B310" t="s">
        <v>849</v>
      </c>
      <c r="C310" s="4">
        <v>45923</v>
      </c>
      <c r="D310" s="2">
        <v>45939</v>
      </c>
      <c r="E310" s="2">
        <v>45940</v>
      </c>
      <c r="F310" t="s">
        <v>58</v>
      </c>
      <c r="G310" t="s">
        <v>174</v>
      </c>
      <c r="H310" t="s">
        <v>583</v>
      </c>
      <c r="I310" t="s">
        <v>300</v>
      </c>
      <c r="J310" t="s">
        <v>769</v>
      </c>
      <c r="K310" t="s">
        <v>451</v>
      </c>
      <c r="M310" t="s">
        <v>558</v>
      </c>
      <c r="N310" t="s">
        <v>576</v>
      </c>
      <c r="O310" t="s">
        <v>808</v>
      </c>
      <c r="Q310">
        <v>1</v>
      </c>
    </row>
    <row r="311" spans="1:17" ht="16.5" x14ac:dyDescent="0.25">
      <c r="A311">
        <v>310</v>
      </c>
      <c r="B311" t="s">
        <v>849</v>
      </c>
      <c r="C311" s="4">
        <v>45923</v>
      </c>
      <c r="D311" s="2">
        <v>45939</v>
      </c>
      <c r="E311" s="2">
        <v>45940</v>
      </c>
      <c r="F311" t="s">
        <v>58</v>
      </c>
      <c r="G311" t="s">
        <v>174</v>
      </c>
      <c r="H311" t="s">
        <v>583</v>
      </c>
      <c r="I311" t="s">
        <v>272</v>
      </c>
      <c r="J311" t="s">
        <v>769</v>
      </c>
      <c r="K311" t="s">
        <v>451</v>
      </c>
      <c r="M311" t="s">
        <v>558</v>
      </c>
      <c r="N311" t="s">
        <v>576</v>
      </c>
      <c r="O311" t="s">
        <v>808</v>
      </c>
      <c r="Q311">
        <v>1</v>
      </c>
    </row>
    <row r="312" spans="1:17" ht="16.5" x14ac:dyDescent="0.25">
      <c r="A312">
        <v>311</v>
      </c>
      <c r="B312" t="s">
        <v>849</v>
      </c>
      <c r="C312" s="4">
        <v>45923</v>
      </c>
      <c r="D312" s="2">
        <v>45941</v>
      </c>
      <c r="E312" s="2">
        <v>45942</v>
      </c>
      <c r="F312" t="s">
        <v>58</v>
      </c>
      <c r="G312" t="s">
        <v>174</v>
      </c>
      <c r="H312" t="s">
        <v>583</v>
      </c>
      <c r="I312" t="s">
        <v>300</v>
      </c>
      <c r="J312" t="s">
        <v>769</v>
      </c>
      <c r="K312" t="s">
        <v>452</v>
      </c>
      <c r="M312" t="s">
        <v>557</v>
      </c>
      <c r="N312" t="s">
        <v>575</v>
      </c>
      <c r="O312" t="str">
        <f t="shared" ref="O312:O343" si="21">IF(OR(ISNUMBER(FIND("ENTREGUES",M312)),N312="Preto",N312="Cinza"),"S","N")</f>
        <v>S</v>
      </c>
      <c r="P312" t="str">
        <f t="shared" ref="P312:P343" si="22">IF(N312="Preto", "", MID(M312, FIND("em ", M312) + 3, 10))</f>
        <v>08/10/2025</v>
      </c>
      <c r="Q312">
        <v>1</v>
      </c>
    </row>
    <row r="313" spans="1:17" ht="16.5" x14ac:dyDescent="0.25">
      <c r="A313">
        <v>312</v>
      </c>
      <c r="B313" t="s">
        <v>849</v>
      </c>
      <c r="C313" s="4">
        <v>45923</v>
      </c>
      <c r="D313" s="2">
        <v>45941</v>
      </c>
      <c r="E313" s="2">
        <v>45942</v>
      </c>
      <c r="F313" t="s">
        <v>58</v>
      </c>
      <c r="G313" t="s">
        <v>174</v>
      </c>
      <c r="H313" t="s">
        <v>583</v>
      </c>
      <c r="I313" t="s">
        <v>272</v>
      </c>
      <c r="J313" t="s">
        <v>769</v>
      </c>
      <c r="K313" t="s">
        <v>452</v>
      </c>
      <c r="M313" t="s">
        <v>557</v>
      </c>
      <c r="N313" t="s">
        <v>575</v>
      </c>
      <c r="O313" t="str">
        <f t="shared" si="21"/>
        <v>S</v>
      </c>
      <c r="P313" t="str">
        <f t="shared" si="22"/>
        <v>08/10/2025</v>
      </c>
      <c r="Q313">
        <v>1</v>
      </c>
    </row>
    <row r="314" spans="1:17" ht="16.5" x14ac:dyDescent="0.25">
      <c r="A314">
        <v>313</v>
      </c>
      <c r="B314" t="s">
        <v>0</v>
      </c>
      <c r="C314" s="4">
        <v>45931</v>
      </c>
      <c r="D314" s="2">
        <v>45941</v>
      </c>
      <c r="E314" s="2">
        <v>45942</v>
      </c>
      <c r="F314" t="s">
        <v>71</v>
      </c>
      <c r="G314" t="s">
        <v>182</v>
      </c>
      <c r="H314" t="s">
        <v>661</v>
      </c>
      <c r="I314" t="s">
        <v>301</v>
      </c>
      <c r="J314" t="s">
        <v>770</v>
      </c>
      <c r="K314" t="s">
        <v>453</v>
      </c>
      <c r="M314" t="s">
        <v>557</v>
      </c>
      <c r="N314" t="s">
        <v>575</v>
      </c>
      <c r="O314" t="str">
        <f t="shared" si="21"/>
        <v>S</v>
      </c>
      <c r="P314" t="str">
        <f t="shared" si="22"/>
        <v>08/10/2025</v>
      </c>
      <c r="Q314">
        <v>1</v>
      </c>
    </row>
    <row r="315" spans="1:17" ht="16.5" x14ac:dyDescent="0.25">
      <c r="A315">
        <v>314</v>
      </c>
      <c r="B315" t="s">
        <v>0</v>
      </c>
      <c r="C315" s="4">
        <v>45931</v>
      </c>
      <c r="D315" s="2">
        <v>45941</v>
      </c>
      <c r="E315" s="2">
        <v>45942</v>
      </c>
      <c r="F315" t="s">
        <v>71</v>
      </c>
      <c r="G315" t="s">
        <v>182</v>
      </c>
      <c r="H315" t="s">
        <v>661</v>
      </c>
      <c r="I315" t="s">
        <v>208</v>
      </c>
      <c r="J315" t="s">
        <v>770</v>
      </c>
      <c r="K315" t="s">
        <v>453</v>
      </c>
      <c r="M315" t="s">
        <v>557</v>
      </c>
      <c r="N315" t="s">
        <v>575</v>
      </c>
      <c r="O315" t="str">
        <f t="shared" si="21"/>
        <v>S</v>
      </c>
      <c r="P315" t="str">
        <f t="shared" si="22"/>
        <v>08/10/2025</v>
      </c>
      <c r="Q315">
        <v>1</v>
      </c>
    </row>
    <row r="316" spans="1:17" ht="16.5" x14ac:dyDescent="0.25">
      <c r="A316">
        <v>315</v>
      </c>
      <c r="B316" t="s">
        <v>0</v>
      </c>
      <c r="C316" s="4">
        <v>45903</v>
      </c>
      <c r="D316" s="2">
        <v>45944</v>
      </c>
      <c r="E316" s="2">
        <v>45944</v>
      </c>
      <c r="F316" t="s">
        <v>72</v>
      </c>
      <c r="G316" t="s">
        <v>183</v>
      </c>
      <c r="H316" t="s">
        <v>662</v>
      </c>
      <c r="I316" t="s">
        <v>302</v>
      </c>
      <c r="J316" t="s">
        <v>771</v>
      </c>
      <c r="K316" t="s">
        <v>454</v>
      </c>
      <c r="M316" t="s">
        <v>577</v>
      </c>
      <c r="N316" t="s">
        <v>565</v>
      </c>
      <c r="O316" t="str">
        <f t="shared" si="21"/>
        <v>S</v>
      </c>
      <c r="P316" t="str">
        <f t="shared" si="22"/>
        <v/>
      </c>
      <c r="Q316">
        <v>1</v>
      </c>
    </row>
    <row r="317" spans="1:17" ht="16.5" x14ac:dyDescent="0.25">
      <c r="A317">
        <v>316</v>
      </c>
      <c r="B317" t="s">
        <v>0</v>
      </c>
      <c r="C317" s="4">
        <v>45903</v>
      </c>
      <c r="D317" s="2">
        <v>45944</v>
      </c>
      <c r="E317" s="2">
        <v>45944</v>
      </c>
      <c r="F317" t="s">
        <v>72</v>
      </c>
      <c r="G317" t="s">
        <v>183</v>
      </c>
      <c r="H317" t="s">
        <v>662</v>
      </c>
      <c r="I317" t="s">
        <v>272</v>
      </c>
      <c r="J317" t="s">
        <v>771</v>
      </c>
      <c r="K317" t="s">
        <v>454</v>
      </c>
      <c r="M317" t="s">
        <v>577</v>
      </c>
      <c r="N317" t="s">
        <v>565</v>
      </c>
      <c r="O317" t="str">
        <f t="shared" si="21"/>
        <v>S</v>
      </c>
      <c r="P317" t="str">
        <f t="shared" si="22"/>
        <v/>
      </c>
      <c r="Q317">
        <v>1</v>
      </c>
    </row>
    <row r="318" spans="1:17" ht="16.5" x14ac:dyDescent="0.25">
      <c r="A318">
        <v>317</v>
      </c>
      <c r="B318" t="s">
        <v>0</v>
      </c>
      <c r="C318" s="4">
        <v>45896</v>
      </c>
      <c r="D318" s="2">
        <v>45945</v>
      </c>
      <c r="E318" s="2">
        <v>45945</v>
      </c>
      <c r="F318" t="s">
        <v>73</v>
      </c>
      <c r="G318" t="s">
        <v>184</v>
      </c>
      <c r="H318" t="s">
        <v>663</v>
      </c>
      <c r="I318" t="s">
        <v>303</v>
      </c>
      <c r="J318" t="s">
        <v>771</v>
      </c>
      <c r="K318" t="s">
        <v>455</v>
      </c>
      <c r="M318" t="s">
        <v>577</v>
      </c>
      <c r="N318" t="s">
        <v>565</v>
      </c>
      <c r="O318" t="str">
        <f t="shared" si="21"/>
        <v>S</v>
      </c>
      <c r="P318" t="str">
        <f t="shared" si="22"/>
        <v/>
      </c>
      <c r="Q318">
        <v>1</v>
      </c>
    </row>
    <row r="319" spans="1:17" ht="16.5" x14ac:dyDescent="0.25">
      <c r="A319">
        <v>318</v>
      </c>
      <c r="B319" t="s">
        <v>0</v>
      </c>
      <c r="C319" s="4">
        <v>45896</v>
      </c>
      <c r="D319" s="2">
        <v>45945</v>
      </c>
      <c r="E319" s="2">
        <v>45945</v>
      </c>
      <c r="F319" t="s">
        <v>73</v>
      </c>
      <c r="G319" t="s">
        <v>184</v>
      </c>
      <c r="H319" t="s">
        <v>663</v>
      </c>
      <c r="I319" t="s">
        <v>272</v>
      </c>
      <c r="J319" t="s">
        <v>771</v>
      </c>
      <c r="K319" t="s">
        <v>455</v>
      </c>
      <c r="M319" t="s">
        <v>577</v>
      </c>
      <c r="N319" t="s">
        <v>565</v>
      </c>
      <c r="O319" t="str">
        <f t="shared" si="21"/>
        <v>S</v>
      </c>
      <c r="P319" t="str">
        <f t="shared" si="22"/>
        <v/>
      </c>
      <c r="Q319">
        <v>1</v>
      </c>
    </row>
    <row r="320" spans="1:17" ht="16.5" x14ac:dyDescent="0.25">
      <c r="A320">
        <v>319</v>
      </c>
      <c r="B320" t="s">
        <v>849</v>
      </c>
      <c r="C320" s="4">
        <v>45923</v>
      </c>
      <c r="D320" s="2">
        <v>45945</v>
      </c>
      <c r="E320" s="2">
        <v>45946</v>
      </c>
      <c r="F320" t="s">
        <v>58</v>
      </c>
      <c r="G320" t="s">
        <v>174</v>
      </c>
      <c r="H320" t="s">
        <v>663</v>
      </c>
      <c r="I320" t="s">
        <v>300</v>
      </c>
      <c r="J320" t="s">
        <v>769</v>
      </c>
      <c r="K320" t="s">
        <v>456</v>
      </c>
      <c r="M320" t="s">
        <v>559</v>
      </c>
      <c r="N320" t="s">
        <v>566</v>
      </c>
      <c r="O320" t="str">
        <f t="shared" si="21"/>
        <v>S</v>
      </c>
      <c r="P320" t="str">
        <f t="shared" si="22"/>
        <v>15/10/2025</v>
      </c>
      <c r="Q320">
        <v>1</v>
      </c>
    </row>
    <row r="321" spans="1:17" ht="16.5" x14ac:dyDescent="0.25">
      <c r="A321">
        <v>320</v>
      </c>
      <c r="B321" t="s">
        <v>849</v>
      </c>
      <c r="C321" s="4">
        <v>45923</v>
      </c>
      <c r="D321" s="2">
        <v>45945</v>
      </c>
      <c r="E321" s="2">
        <v>45946</v>
      </c>
      <c r="F321" t="s">
        <v>58</v>
      </c>
      <c r="G321" t="s">
        <v>174</v>
      </c>
      <c r="H321" t="s">
        <v>663</v>
      </c>
      <c r="I321" t="s">
        <v>208</v>
      </c>
      <c r="J321" t="s">
        <v>769</v>
      </c>
      <c r="K321" t="s">
        <v>456</v>
      </c>
      <c r="M321" t="s">
        <v>559</v>
      </c>
      <c r="N321" t="s">
        <v>566</v>
      </c>
      <c r="O321" t="str">
        <f t="shared" si="21"/>
        <v>S</v>
      </c>
      <c r="P321" t="str">
        <f t="shared" si="22"/>
        <v>15/10/2025</v>
      </c>
      <c r="Q321">
        <v>1</v>
      </c>
    </row>
    <row r="322" spans="1:17" ht="16.5" x14ac:dyDescent="0.25">
      <c r="A322">
        <v>321</v>
      </c>
      <c r="B322" t="s">
        <v>849</v>
      </c>
      <c r="C322" s="4">
        <v>45652</v>
      </c>
      <c r="D322" s="2">
        <v>45947</v>
      </c>
      <c r="E322" s="2">
        <v>45950</v>
      </c>
      <c r="F322" t="s">
        <v>6</v>
      </c>
      <c r="G322" t="s">
        <v>88</v>
      </c>
      <c r="H322" t="s">
        <v>581</v>
      </c>
      <c r="I322" t="s">
        <v>204</v>
      </c>
      <c r="J322" t="s">
        <v>679</v>
      </c>
      <c r="K322" t="s">
        <v>457</v>
      </c>
      <c r="M322" t="s">
        <v>559</v>
      </c>
      <c r="N322" t="s">
        <v>569</v>
      </c>
      <c r="O322" t="str">
        <f t="shared" si="21"/>
        <v>S</v>
      </c>
      <c r="P322" t="str">
        <f t="shared" si="22"/>
        <v>15/10/2025</v>
      </c>
      <c r="Q322">
        <v>1</v>
      </c>
    </row>
    <row r="323" spans="1:17" ht="16.5" x14ac:dyDescent="0.25">
      <c r="A323">
        <v>322</v>
      </c>
      <c r="B323" t="s">
        <v>849</v>
      </c>
      <c r="C323" s="4">
        <v>45652</v>
      </c>
      <c r="D323" s="2">
        <v>45947</v>
      </c>
      <c r="E323" s="2">
        <v>45950</v>
      </c>
      <c r="F323" t="s">
        <v>6</v>
      </c>
      <c r="G323" t="s">
        <v>88</v>
      </c>
      <c r="H323" t="s">
        <v>581</v>
      </c>
      <c r="I323" t="s">
        <v>203</v>
      </c>
      <c r="J323" t="s">
        <v>679</v>
      </c>
      <c r="K323" t="s">
        <v>457</v>
      </c>
      <c r="M323" t="s">
        <v>559</v>
      </c>
      <c r="N323" t="s">
        <v>569</v>
      </c>
      <c r="O323" t="str">
        <f t="shared" si="21"/>
        <v>S</v>
      </c>
      <c r="P323" t="str">
        <f t="shared" si="22"/>
        <v>15/10/2025</v>
      </c>
      <c r="Q323">
        <v>1</v>
      </c>
    </row>
    <row r="324" spans="1:17" ht="16.5" x14ac:dyDescent="0.25">
      <c r="A324">
        <v>323</v>
      </c>
      <c r="B324" t="s">
        <v>849</v>
      </c>
      <c r="C324" s="4">
        <v>45692</v>
      </c>
      <c r="D324" s="2">
        <v>45947</v>
      </c>
      <c r="E324" s="2">
        <v>45950</v>
      </c>
      <c r="F324" t="s">
        <v>32</v>
      </c>
      <c r="G324" t="s">
        <v>120</v>
      </c>
      <c r="H324" t="s">
        <v>610</v>
      </c>
      <c r="I324" t="s">
        <v>235</v>
      </c>
      <c r="J324" t="s">
        <v>708</v>
      </c>
      <c r="K324" t="s">
        <v>457</v>
      </c>
      <c r="M324" t="s">
        <v>559</v>
      </c>
      <c r="N324" t="s">
        <v>569</v>
      </c>
      <c r="O324" t="str">
        <f t="shared" si="21"/>
        <v>S</v>
      </c>
      <c r="P324" t="str">
        <f t="shared" si="22"/>
        <v>15/10/2025</v>
      </c>
      <c r="Q324">
        <v>1</v>
      </c>
    </row>
    <row r="325" spans="1:17" ht="16.5" x14ac:dyDescent="0.25">
      <c r="A325">
        <v>324</v>
      </c>
      <c r="B325" t="s">
        <v>849</v>
      </c>
      <c r="C325" s="4">
        <v>45692</v>
      </c>
      <c r="D325" s="2">
        <v>45947</v>
      </c>
      <c r="E325" s="2">
        <v>45950</v>
      </c>
      <c r="F325" t="s">
        <v>32</v>
      </c>
      <c r="G325" t="s">
        <v>120</v>
      </c>
      <c r="H325" t="s">
        <v>610</v>
      </c>
      <c r="I325" t="s">
        <v>203</v>
      </c>
      <c r="J325" t="s">
        <v>708</v>
      </c>
      <c r="K325" t="s">
        <v>457</v>
      </c>
      <c r="M325" t="s">
        <v>559</v>
      </c>
      <c r="N325" t="s">
        <v>569</v>
      </c>
      <c r="O325" t="str">
        <f t="shared" si="21"/>
        <v>S</v>
      </c>
      <c r="P325" t="str">
        <f t="shared" si="22"/>
        <v>15/10/2025</v>
      </c>
      <c r="Q325">
        <v>1</v>
      </c>
    </row>
    <row r="326" spans="1:17" ht="16.5" x14ac:dyDescent="0.25">
      <c r="A326">
        <v>325</v>
      </c>
      <c r="B326" t="s">
        <v>849</v>
      </c>
      <c r="C326" s="4">
        <v>45692</v>
      </c>
      <c r="D326" s="2">
        <v>45947</v>
      </c>
      <c r="E326" s="2">
        <v>45950</v>
      </c>
      <c r="F326" t="s">
        <v>11</v>
      </c>
      <c r="G326" t="s">
        <v>106</v>
      </c>
      <c r="H326" t="s">
        <v>597</v>
      </c>
      <c r="I326" t="s">
        <v>223</v>
      </c>
      <c r="J326" t="s">
        <v>696</v>
      </c>
      <c r="K326" t="s">
        <v>458</v>
      </c>
      <c r="M326" t="s">
        <v>559</v>
      </c>
      <c r="N326" t="s">
        <v>569</v>
      </c>
      <c r="O326" t="str">
        <f t="shared" si="21"/>
        <v>S</v>
      </c>
      <c r="P326" t="str">
        <f t="shared" si="22"/>
        <v>15/10/2025</v>
      </c>
      <c r="Q326">
        <v>1</v>
      </c>
    </row>
    <row r="327" spans="1:17" ht="16.5" x14ac:dyDescent="0.25">
      <c r="A327">
        <v>326</v>
      </c>
      <c r="B327" t="s">
        <v>849</v>
      </c>
      <c r="C327" s="4">
        <v>45692</v>
      </c>
      <c r="D327" s="2">
        <v>45947</v>
      </c>
      <c r="E327" s="2">
        <v>45950</v>
      </c>
      <c r="F327" t="s">
        <v>11</v>
      </c>
      <c r="G327" t="s">
        <v>106</v>
      </c>
      <c r="H327" t="s">
        <v>597</v>
      </c>
      <c r="I327" t="s">
        <v>203</v>
      </c>
      <c r="J327" t="s">
        <v>696</v>
      </c>
      <c r="K327" t="s">
        <v>458</v>
      </c>
      <c r="M327" t="s">
        <v>559</v>
      </c>
      <c r="N327" t="s">
        <v>569</v>
      </c>
      <c r="O327" t="str">
        <f t="shared" si="21"/>
        <v>S</v>
      </c>
      <c r="P327" t="str">
        <f t="shared" si="22"/>
        <v>15/10/2025</v>
      </c>
      <c r="Q327">
        <v>1</v>
      </c>
    </row>
    <row r="328" spans="1:17" ht="16.5" x14ac:dyDescent="0.25">
      <c r="A328">
        <v>327</v>
      </c>
      <c r="B328" t="s">
        <v>849</v>
      </c>
      <c r="C328" s="4">
        <v>45728</v>
      </c>
      <c r="D328" s="2">
        <v>45947</v>
      </c>
      <c r="E328" s="2">
        <v>45950</v>
      </c>
      <c r="F328" t="s">
        <v>22</v>
      </c>
      <c r="G328" t="s">
        <v>105</v>
      </c>
      <c r="H328" t="s">
        <v>596</v>
      </c>
      <c r="I328" t="s">
        <v>221</v>
      </c>
      <c r="J328" t="s">
        <v>694</v>
      </c>
      <c r="K328" t="s">
        <v>459</v>
      </c>
      <c r="M328" t="s">
        <v>559</v>
      </c>
      <c r="N328" t="s">
        <v>569</v>
      </c>
      <c r="O328" t="str">
        <f t="shared" si="21"/>
        <v>S</v>
      </c>
      <c r="P328" t="str">
        <f t="shared" si="22"/>
        <v>15/10/2025</v>
      </c>
      <c r="Q328">
        <v>1</v>
      </c>
    </row>
    <row r="329" spans="1:17" ht="16.5" x14ac:dyDescent="0.25">
      <c r="A329">
        <v>328</v>
      </c>
      <c r="B329" t="s">
        <v>849</v>
      </c>
      <c r="C329" s="4">
        <v>45728</v>
      </c>
      <c r="D329" s="2">
        <v>45947</v>
      </c>
      <c r="E329" s="2">
        <v>45950</v>
      </c>
      <c r="F329" t="s">
        <v>22</v>
      </c>
      <c r="G329" t="s">
        <v>105</v>
      </c>
      <c r="H329" t="s">
        <v>596</v>
      </c>
      <c r="I329" t="s">
        <v>203</v>
      </c>
      <c r="J329" t="s">
        <v>694</v>
      </c>
      <c r="K329" t="s">
        <v>459</v>
      </c>
      <c r="M329" t="s">
        <v>559</v>
      </c>
      <c r="N329" t="s">
        <v>569</v>
      </c>
      <c r="O329" t="str">
        <f t="shared" si="21"/>
        <v>S</v>
      </c>
      <c r="P329" t="str">
        <f t="shared" si="22"/>
        <v>15/10/2025</v>
      </c>
      <c r="Q329">
        <v>1</v>
      </c>
    </row>
    <row r="330" spans="1:17" ht="16.5" x14ac:dyDescent="0.25">
      <c r="A330">
        <v>329</v>
      </c>
      <c r="B330" t="s">
        <v>849</v>
      </c>
      <c r="C330" s="4">
        <v>45904</v>
      </c>
      <c r="D330" s="2">
        <v>45947</v>
      </c>
      <c r="E330" s="2">
        <v>45950</v>
      </c>
      <c r="F330" t="s">
        <v>74</v>
      </c>
      <c r="G330" t="s">
        <v>185</v>
      </c>
      <c r="H330" t="s">
        <v>664</v>
      </c>
      <c r="I330" t="s">
        <v>304</v>
      </c>
      <c r="J330" t="s">
        <v>772</v>
      </c>
      <c r="K330" t="s">
        <v>459</v>
      </c>
      <c r="M330" t="s">
        <v>559</v>
      </c>
      <c r="N330" t="s">
        <v>569</v>
      </c>
      <c r="O330" t="str">
        <f t="shared" si="21"/>
        <v>S</v>
      </c>
      <c r="P330" t="str">
        <f t="shared" si="22"/>
        <v>15/10/2025</v>
      </c>
      <c r="Q330">
        <v>1</v>
      </c>
    </row>
    <row r="331" spans="1:17" ht="16.5" x14ac:dyDescent="0.25">
      <c r="A331">
        <v>330</v>
      </c>
      <c r="B331" t="s">
        <v>849</v>
      </c>
      <c r="C331" s="4">
        <v>45904</v>
      </c>
      <c r="D331" s="2">
        <v>45947</v>
      </c>
      <c r="E331" s="2">
        <v>45950</v>
      </c>
      <c r="F331" t="s">
        <v>74</v>
      </c>
      <c r="G331" t="s">
        <v>185</v>
      </c>
      <c r="H331" t="s">
        <v>664</v>
      </c>
      <c r="I331" t="s">
        <v>208</v>
      </c>
      <c r="J331" t="s">
        <v>772</v>
      </c>
      <c r="K331" t="s">
        <v>459</v>
      </c>
      <c r="M331" t="s">
        <v>559</v>
      </c>
      <c r="N331" t="s">
        <v>569</v>
      </c>
      <c r="O331" t="str">
        <f t="shared" si="21"/>
        <v>S</v>
      </c>
      <c r="P331" t="str">
        <f t="shared" si="22"/>
        <v>15/10/2025</v>
      </c>
      <c r="Q331">
        <v>1</v>
      </c>
    </row>
    <row r="332" spans="1:17" ht="16.5" x14ac:dyDescent="0.25">
      <c r="A332">
        <v>331</v>
      </c>
      <c r="B332" t="s">
        <v>849</v>
      </c>
      <c r="C332" s="4">
        <v>45923</v>
      </c>
      <c r="D332" s="2">
        <v>45947</v>
      </c>
      <c r="E332" s="2">
        <v>45950</v>
      </c>
      <c r="F332" t="s">
        <v>58</v>
      </c>
      <c r="G332" t="s">
        <v>174</v>
      </c>
      <c r="H332" t="s">
        <v>664</v>
      </c>
      <c r="I332" t="s">
        <v>300</v>
      </c>
      <c r="J332" t="s">
        <v>769</v>
      </c>
      <c r="K332" t="s">
        <v>460</v>
      </c>
      <c r="M332" t="s">
        <v>559</v>
      </c>
      <c r="N332" t="s">
        <v>569</v>
      </c>
      <c r="O332" t="str">
        <f t="shared" si="21"/>
        <v>S</v>
      </c>
      <c r="P332" t="str">
        <f t="shared" si="22"/>
        <v>15/10/2025</v>
      </c>
      <c r="Q332">
        <v>1</v>
      </c>
    </row>
    <row r="333" spans="1:17" ht="16.5" x14ac:dyDescent="0.25">
      <c r="A333">
        <v>332</v>
      </c>
      <c r="B333" t="s">
        <v>849</v>
      </c>
      <c r="C333" s="4">
        <v>45923</v>
      </c>
      <c r="D333" s="2">
        <v>45947</v>
      </c>
      <c r="E333" s="2">
        <v>45950</v>
      </c>
      <c r="F333" t="s">
        <v>58</v>
      </c>
      <c r="G333" t="s">
        <v>174</v>
      </c>
      <c r="H333" t="s">
        <v>664</v>
      </c>
      <c r="I333" t="s">
        <v>203</v>
      </c>
      <c r="J333" t="s">
        <v>769</v>
      </c>
      <c r="K333" t="s">
        <v>460</v>
      </c>
      <c r="M333" t="s">
        <v>559</v>
      </c>
      <c r="N333" t="s">
        <v>569</v>
      </c>
      <c r="O333" t="str">
        <f t="shared" si="21"/>
        <v>S</v>
      </c>
      <c r="P333" t="str">
        <f t="shared" si="22"/>
        <v>15/10/2025</v>
      </c>
      <c r="Q333">
        <v>1</v>
      </c>
    </row>
    <row r="334" spans="1:17" ht="16.5" x14ac:dyDescent="0.25">
      <c r="A334">
        <v>333</v>
      </c>
      <c r="B334" t="s">
        <v>849</v>
      </c>
      <c r="C334" s="4">
        <v>45908</v>
      </c>
      <c r="D334" s="2">
        <v>45951</v>
      </c>
      <c r="E334" s="2">
        <v>45952</v>
      </c>
      <c r="F334" t="s">
        <v>7</v>
      </c>
      <c r="G334" t="s">
        <v>186</v>
      </c>
      <c r="H334" t="s">
        <v>665</v>
      </c>
      <c r="I334" t="s">
        <v>305</v>
      </c>
      <c r="J334" t="s">
        <v>773</v>
      </c>
      <c r="K334" t="s">
        <v>461</v>
      </c>
      <c r="M334" t="s">
        <v>559</v>
      </c>
      <c r="N334" t="s">
        <v>570</v>
      </c>
      <c r="O334" t="str">
        <f t="shared" si="21"/>
        <v>S</v>
      </c>
      <c r="P334" t="str">
        <f t="shared" si="22"/>
        <v>15/10/2025</v>
      </c>
      <c r="Q334">
        <v>1</v>
      </c>
    </row>
    <row r="335" spans="1:17" ht="16.5" x14ac:dyDescent="0.25">
      <c r="A335">
        <v>334</v>
      </c>
      <c r="B335" t="s">
        <v>849</v>
      </c>
      <c r="C335" s="4">
        <v>45908</v>
      </c>
      <c r="D335" s="2">
        <v>45951</v>
      </c>
      <c r="E335" s="2">
        <v>45952</v>
      </c>
      <c r="F335" t="s">
        <v>7</v>
      </c>
      <c r="G335" t="s">
        <v>186</v>
      </c>
      <c r="H335" t="s">
        <v>665</v>
      </c>
      <c r="I335" t="s">
        <v>203</v>
      </c>
      <c r="J335" t="s">
        <v>773</v>
      </c>
      <c r="K335" t="s">
        <v>461</v>
      </c>
      <c r="M335" t="s">
        <v>559</v>
      </c>
      <c r="N335" t="s">
        <v>570</v>
      </c>
      <c r="O335" t="str">
        <f t="shared" si="21"/>
        <v>S</v>
      </c>
      <c r="P335" t="str">
        <f t="shared" si="22"/>
        <v>15/10/2025</v>
      </c>
      <c r="Q335">
        <v>1</v>
      </c>
    </row>
    <row r="336" spans="1:17" ht="16.5" x14ac:dyDescent="0.25">
      <c r="A336">
        <v>335</v>
      </c>
      <c r="B336" t="s">
        <v>849</v>
      </c>
      <c r="C336" s="4">
        <v>45923</v>
      </c>
      <c r="D336" s="2">
        <v>45953</v>
      </c>
      <c r="E336" s="2">
        <v>45954</v>
      </c>
      <c r="F336" t="s">
        <v>58</v>
      </c>
      <c r="G336" t="s">
        <v>174</v>
      </c>
      <c r="H336" t="s">
        <v>665</v>
      </c>
      <c r="I336" t="s">
        <v>300</v>
      </c>
      <c r="J336" t="s">
        <v>769</v>
      </c>
      <c r="K336" t="s">
        <v>462</v>
      </c>
      <c r="M336" t="s">
        <v>559</v>
      </c>
      <c r="N336" t="s">
        <v>572</v>
      </c>
      <c r="O336" t="str">
        <f t="shared" si="21"/>
        <v>S</v>
      </c>
      <c r="P336" t="str">
        <f t="shared" si="22"/>
        <v>15/10/2025</v>
      </c>
      <c r="Q336">
        <v>1</v>
      </c>
    </row>
    <row r="337" spans="1:17" ht="16.5" x14ac:dyDescent="0.25">
      <c r="A337">
        <v>336</v>
      </c>
      <c r="B337" t="s">
        <v>849</v>
      </c>
      <c r="C337" s="4">
        <v>45923</v>
      </c>
      <c r="D337" s="2">
        <v>45953</v>
      </c>
      <c r="E337" s="2">
        <v>45954</v>
      </c>
      <c r="F337" t="s">
        <v>58</v>
      </c>
      <c r="G337" t="s">
        <v>174</v>
      </c>
      <c r="H337" t="s">
        <v>665</v>
      </c>
      <c r="I337" t="s">
        <v>203</v>
      </c>
      <c r="J337" t="s">
        <v>769</v>
      </c>
      <c r="K337" t="s">
        <v>462</v>
      </c>
      <c r="M337" t="s">
        <v>559</v>
      </c>
      <c r="N337" t="s">
        <v>572</v>
      </c>
      <c r="O337" t="str">
        <f t="shared" si="21"/>
        <v>S</v>
      </c>
      <c r="P337" t="str">
        <f t="shared" si="22"/>
        <v>15/10/2025</v>
      </c>
      <c r="Q337">
        <v>1</v>
      </c>
    </row>
    <row r="338" spans="1:17" ht="16.5" x14ac:dyDescent="0.25">
      <c r="A338">
        <v>337</v>
      </c>
      <c r="B338" t="s">
        <v>849</v>
      </c>
      <c r="C338" s="4">
        <v>45931</v>
      </c>
      <c r="D338" s="2">
        <v>45953</v>
      </c>
      <c r="E338" s="2">
        <v>45954</v>
      </c>
      <c r="F338" t="s">
        <v>71</v>
      </c>
      <c r="G338" t="s">
        <v>182</v>
      </c>
      <c r="H338" t="s">
        <v>661</v>
      </c>
      <c r="I338" t="s">
        <v>301</v>
      </c>
      <c r="J338" t="s">
        <v>770</v>
      </c>
      <c r="K338" t="s">
        <v>462</v>
      </c>
      <c r="M338" t="s">
        <v>559</v>
      </c>
      <c r="N338" t="s">
        <v>572</v>
      </c>
      <c r="O338" t="str">
        <f t="shared" si="21"/>
        <v>S</v>
      </c>
      <c r="P338" t="str">
        <f t="shared" si="22"/>
        <v>15/10/2025</v>
      </c>
      <c r="Q338">
        <v>1</v>
      </c>
    </row>
    <row r="339" spans="1:17" ht="16.5" x14ac:dyDescent="0.25">
      <c r="A339">
        <v>338</v>
      </c>
      <c r="B339" t="s">
        <v>849</v>
      </c>
      <c r="C339" s="4">
        <v>45931</v>
      </c>
      <c r="D339" s="2">
        <v>45953</v>
      </c>
      <c r="E339" s="2">
        <v>45954</v>
      </c>
      <c r="F339" t="s">
        <v>71</v>
      </c>
      <c r="G339" t="s">
        <v>182</v>
      </c>
      <c r="H339" t="s">
        <v>661</v>
      </c>
      <c r="I339" t="s">
        <v>208</v>
      </c>
      <c r="J339" t="s">
        <v>770</v>
      </c>
      <c r="K339" t="s">
        <v>462</v>
      </c>
      <c r="M339" t="s">
        <v>559</v>
      </c>
      <c r="N339" t="s">
        <v>572</v>
      </c>
      <c r="O339" t="str">
        <f t="shared" si="21"/>
        <v>S</v>
      </c>
      <c r="P339" t="str">
        <f t="shared" si="22"/>
        <v>15/10/2025</v>
      </c>
      <c r="Q339">
        <v>1</v>
      </c>
    </row>
    <row r="340" spans="1:17" ht="16.5" x14ac:dyDescent="0.25">
      <c r="A340">
        <v>339</v>
      </c>
      <c r="B340" t="s">
        <v>849</v>
      </c>
      <c r="C340" s="4">
        <v>45693</v>
      </c>
      <c r="D340" s="2">
        <v>45955</v>
      </c>
      <c r="E340" s="2">
        <v>45956</v>
      </c>
      <c r="F340" t="s">
        <v>13</v>
      </c>
      <c r="G340" t="s">
        <v>90</v>
      </c>
      <c r="H340" t="s">
        <v>583</v>
      </c>
      <c r="I340" t="s">
        <v>206</v>
      </c>
      <c r="J340" t="s">
        <v>681</v>
      </c>
      <c r="K340" t="s">
        <v>463</v>
      </c>
      <c r="M340" t="s">
        <v>559</v>
      </c>
      <c r="N340" t="s">
        <v>567</v>
      </c>
      <c r="O340" t="str">
        <f t="shared" si="21"/>
        <v>S</v>
      </c>
      <c r="P340" t="str">
        <f t="shared" si="22"/>
        <v>15/10/2025</v>
      </c>
      <c r="Q340">
        <v>1</v>
      </c>
    </row>
    <row r="341" spans="1:17" ht="16.5" x14ac:dyDescent="0.25">
      <c r="A341">
        <v>340</v>
      </c>
      <c r="B341" t="s">
        <v>849</v>
      </c>
      <c r="C341" s="4">
        <v>45693</v>
      </c>
      <c r="D341" s="2">
        <v>45955</v>
      </c>
      <c r="E341" s="2">
        <v>45956</v>
      </c>
      <c r="F341" t="s">
        <v>13</v>
      </c>
      <c r="G341" t="s">
        <v>90</v>
      </c>
      <c r="H341" t="s">
        <v>583</v>
      </c>
      <c r="I341" t="s">
        <v>203</v>
      </c>
      <c r="J341" t="s">
        <v>681</v>
      </c>
      <c r="K341" t="s">
        <v>463</v>
      </c>
      <c r="M341" t="s">
        <v>559</v>
      </c>
      <c r="N341" t="s">
        <v>567</v>
      </c>
      <c r="O341" t="str">
        <f t="shared" si="21"/>
        <v>S</v>
      </c>
      <c r="P341" t="str">
        <f t="shared" si="22"/>
        <v>15/10/2025</v>
      </c>
      <c r="Q341">
        <v>1</v>
      </c>
    </row>
    <row r="342" spans="1:17" ht="16.5" x14ac:dyDescent="0.25">
      <c r="A342">
        <v>341</v>
      </c>
      <c r="B342" t="s">
        <v>0</v>
      </c>
      <c r="C342" s="4">
        <v>45936</v>
      </c>
      <c r="D342" s="2">
        <v>45957</v>
      </c>
      <c r="E342" s="2">
        <v>45958</v>
      </c>
      <c r="F342" t="s">
        <v>75</v>
      </c>
      <c r="G342" t="s">
        <v>187</v>
      </c>
      <c r="H342" t="s">
        <v>666</v>
      </c>
      <c r="I342" t="s">
        <v>306</v>
      </c>
      <c r="J342" t="s">
        <v>774</v>
      </c>
      <c r="K342" t="s">
        <v>464</v>
      </c>
      <c r="M342" t="s">
        <v>560</v>
      </c>
      <c r="N342" t="s">
        <v>565</v>
      </c>
      <c r="O342" t="str">
        <f t="shared" si="21"/>
        <v>S</v>
      </c>
      <c r="P342" t="str">
        <f t="shared" si="22"/>
        <v/>
      </c>
      <c r="Q342">
        <v>1</v>
      </c>
    </row>
    <row r="343" spans="1:17" ht="16.5" x14ac:dyDescent="0.25">
      <c r="A343">
        <v>342</v>
      </c>
      <c r="B343" t="s">
        <v>0</v>
      </c>
      <c r="C343" s="4">
        <v>45936</v>
      </c>
      <c r="D343" s="2">
        <v>45957</v>
      </c>
      <c r="E343" s="2">
        <v>45958</v>
      </c>
      <c r="F343" t="s">
        <v>75</v>
      </c>
      <c r="G343" t="s">
        <v>187</v>
      </c>
      <c r="H343" t="s">
        <v>666</v>
      </c>
      <c r="I343" t="s">
        <v>203</v>
      </c>
      <c r="J343" t="s">
        <v>774</v>
      </c>
      <c r="K343" t="s">
        <v>464</v>
      </c>
      <c r="M343" t="s">
        <v>560</v>
      </c>
      <c r="N343" t="s">
        <v>565</v>
      </c>
      <c r="O343" t="str">
        <f t="shared" si="21"/>
        <v>S</v>
      </c>
      <c r="P343" t="str">
        <f t="shared" si="22"/>
        <v/>
      </c>
      <c r="Q343">
        <v>1</v>
      </c>
    </row>
    <row r="344" spans="1:17" ht="16.5" x14ac:dyDescent="0.25">
      <c r="A344">
        <v>343</v>
      </c>
      <c r="B344" t="s">
        <v>0</v>
      </c>
      <c r="C344" s="4">
        <v>45884</v>
      </c>
      <c r="D344" s="2">
        <v>45959</v>
      </c>
      <c r="E344" s="2">
        <v>45959</v>
      </c>
      <c r="F344" t="s">
        <v>76</v>
      </c>
      <c r="G344" t="s">
        <v>188</v>
      </c>
      <c r="H344" t="s">
        <v>667</v>
      </c>
      <c r="I344" t="s">
        <v>307</v>
      </c>
      <c r="J344" t="s">
        <v>775</v>
      </c>
      <c r="K344" t="s">
        <v>465</v>
      </c>
      <c r="M344" t="s">
        <v>577</v>
      </c>
      <c r="N344" t="s">
        <v>565</v>
      </c>
      <c r="O344" t="str">
        <f t="shared" ref="O344:O375" si="23">IF(OR(ISNUMBER(FIND("ENTREGUES",M344)),N344="Preto",N344="Cinza"),"S","N")</f>
        <v>S</v>
      </c>
      <c r="P344" t="str">
        <f t="shared" ref="P344:P375" si="24">IF(N344="Preto", "", MID(M344, FIND("em ", M344) + 3, 10))</f>
        <v/>
      </c>
      <c r="Q344">
        <v>1</v>
      </c>
    </row>
    <row r="345" spans="1:17" ht="16.5" x14ac:dyDescent="0.25">
      <c r="A345">
        <v>344</v>
      </c>
      <c r="B345" t="s">
        <v>0</v>
      </c>
      <c r="C345" s="4">
        <v>45884</v>
      </c>
      <c r="D345" s="2">
        <v>45959</v>
      </c>
      <c r="E345" s="2">
        <v>45959</v>
      </c>
      <c r="F345" t="s">
        <v>76</v>
      </c>
      <c r="G345" t="s">
        <v>188</v>
      </c>
      <c r="H345" t="s">
        <v>667</v>
      </c>
      <c r="I345" t="s">
        <v>203</v>
      </c>
      <c r="J345" t="s">
        <v>775</v>
      </c>
      <c r="K345" t="s">
        <v>465</v>
      </c>
      <c r="M345" t="s">
        <v>577</v>
      </c>
      <c r="N345" t="s">
        <v>565</v>
      </c>
      <c r="O345" t="str">
        <f t="shared" si="23"/>
        <v>S</v>
      </c>
      <c r="P345" t="str">
        <f t="shared" si="24"/>
        <v/>
      </c>
      <c r="Q345">
        <v>1</v>
      </c>
    </row>
    <row r="346" spans="1:17" ht="16.5" x14ac:dyDescent="0.25">
      <c r="A346">
        <v>345</v>
      </c>
      <c r="B346" t="s">
        <v>849</v>
      </c>
      <c r="C346" s="4">
        <v>45947</v>
      </c>
      <c r="D346" s="2">
        <v>45957</v>
      </c>
      <c r="E346" s="2">
        <v>45958</v>
      </c>
      <c r="F346" t="s">
        <v>77</v>
      </c>
      <c r="G346" t="s">
        <v>189</v>
      </c>
      <c r="H346" t="s">
        <v>668</v>
      </c>
      <c r="I346" t="s">
        <v>308</v>
      </c>
      <c r="J346" t="s">
        <v>776</v>
      </c>
      <c r="K346" t="s">
        <v>466</v>
      </c>
      <c r="M346" t="s">
        <v>848</v>
      </c>
      <c r="N346" t="s">
        <v>572</v>
      </c>
      <c r="O346" t="str">
        <f t="shared" si="23"/>
        <v>S</v>
      </c>
      <c r="P346" t="str">
        <f t="shared" si="24"/>
        <v>01/10/2025</v>
      </c>
      <c r="Q346">
        <v>1</v>
      </c>
    </row>
    <row r="347" spans="1:17" ht="16.5" x14ac:dyDescent="0.25">
      <c r="A347">
        <v>346</v>
      </c>
      <c r="B347" t="s">
        <v>849</v>
      </c>
      <c r="C347" s="4">
        <v>45947</v>
      </c>
      <c r="D347" s="2">
        <v>45957</v>
      </c>
      <c r="E347" s="2">
        <v>45958</v>
      </c>
      <c r="F347" t="s">
        <v>77</v>
      </c>
      <c r="G347" t="s">
        <v>189</v>
      </c>
      <c r="H347" t="s">
        <v>668</v>
      </c>
      <c r="I347" t="s">
        <v>203</v>
      </c>
      <c r="J347" t="s">
        <v>776</v>
      </c>
      <c r="K347" t="s">
        <v>466</v>
      </c>
      <c r="M347" t="s">
        <v>848</v>
      </c>
      <c r="N347" t="s">
        <v>572</v>
      </c>
      <c r="O347" t="str">
        <f t="shared" si="23"/>
        <v>S</v>
      </c>
      <c r="P347" t="str">
        <f t="shared" si="24"/>
        <v>01/10/2025</v>
      </c>
      <c r="Q347">
        <v>1</v>
      </c>
    </row>
    <row r="348" spans="1:17" ht="16.5" x14ac:dyDescent="0.25">
      <c r="A348">
        <v>347</v>
      </c>
      <c r="B348" t="s">
        <v>1</v>
      </c>
      <c r="C348" s="4">
        <v>45940</v>
      </c>
      <c r="D348" s="2">
        <v>45959</v>
      </c>
      <c r="E348" s="2">
        <v>45960</v>
      </c>
      <c r="F348" t="s">
        <v>78</v>
      </c>
      <c r="G348" t="s">
        <v>190</v>
      </c>
      <c r="H348" t="s">
        <v>669</v>
      </c>
      <c r="I348" t="s">
        <v>309</v>
      </c>
      <c r="J348" t="s">
        <v>777</v>
      </c>
      <c r="K348" t="s">
        <v>467</v>
      </c>
      <c r="M348" t="s">
        <v>562</v>
      </c>
      <c r="N348" t="s">
        <v>566</v>
      </c>
      <c r="O348" t="str">
        <f t="shared" si="23"/>
        <v>S</v>
      </c>
      <c r="P348" t="str">
        <f t="shared" si="24"/>
        <v>17/10/2025</v>
      </c>
      <c r="Q348">
        <v>1</v>
      </c>
    </row>
    <row r="349" spans="1:17" ht="16.5" x14ac:dyDescent="0.25">
      <c r="A349">
        <v>348</v>
      </c>
      <c r="B349" t="s">
        <v>2</v>
      </c>
      <c r="C349" s="4">
        <v>45940</v>
      </c>
      <c r="D349" s="2">
        <v>45959</v>
      </c>
      <c r="E349" s="2">
        <v>45960</v>
      </c>
      <c r="F349" t="s">
        <v>78</v>
      </c>
      <c r="G349" t="s">
        <v>190</v>
      </c>
      <c r="H349" t="s">
        <v>669</v>
      </c>
      <c r="I349" t="s">
        <v>203</v>
      </c>
      <c r="J349" t="s">
        <v>777</v>
      </c>
      <c r="K349" t="s">
        <v>467</v>
      </c>
      <c r="M349" t="s">
        <v>562</v>
      </c>
      <c r="N349" t="s">
        <v>576</v>
      </c>
      <c r="O349" t="str">
        <f t="shared" si="23"/>
        <v>S</v>
      </c>
      <c r="P349" t="str">
        <f t="shared" si="24"/>
        <v>17/10/2025</v>
      </c>
      <c r="Q349">
        <v>1</v>
      </c>
    </row>
    <row r="350" spans="1:17" ht="16.5" x14ac:dyDescent="0.25">
      <c r="A350">
        <v>349</v>
      </c>
      <c r="B350" t="s">
        <v>849</v>
      </c>
      <c r="C350" s="4">
        <v>45925</v>
      </c>
      <c r="D350" s="2">
        <v>45961</v>
      </c>
      <c r="E350" s="2">
        <v>45962</v>
      </c>
      <c r="F350" t="s">
        <v>77</v>
      </c>
      <c r="G350" t="s">
        <v>191</v>
      </c>
      <c r="H350" t="s">
        <v>669</v>
      </c>
      <c r="I350" t="s">
        <v>310</v>
      </c>
      <c r="J350" t="s">
        <v>778</v>
      </c>
      <c r="K350" t="s">
        <v>468</v>
      </c>
      <c r="M350" t="s">
        <v>562</v>
      </c>
      <c r="N350" t="s">
        <v>564</v>
      </c>
      <c r="O350" t="str">
        <f t="shared" si="23"/>
        <v>S</v>
      </c>
      <c r="P350" t="str">
        <f t="shared" si="24"/>
        <v>17/10/2025</v>
      </c>
      <c r="Q350">
        <v>1</v>
      </c>
    </row>
    <row r="351" spans="1:17" ht="16.5" x14ac:dyDescent="0.25">
      <c r="A351">
        <v>350</v>
      </c>
      <c r="B351" t="s">
        <v>849</v>
      </c>
      <c r="C351" s="4">
        <v>45925</v>
      </c>
      <c r="D351" s="2">
        <v>45961</v>
      </c>
      <c r="E351" s="2">
        <v>45962</v>
      </c>
      <c r="F351" t="s">
        <v>77</v>
      </c>
      <c r="G351" t="s">
        <v>191</v>
      </c>
      <c r="H351" t="s">
        <v>669</v>
      </c>
      <c r="I351" t="s">
        <v>208</v>
      </c>
      <c r="J351" t="s">
        <v>778</v>
      </c>
      <c r="K351" t="s">
        <v>468</v>
      </c>
      <c r="M351" t="s">
        <v>562</v>
      </c>
      <c r="N351" t="s">
        <v>564</v>
      </c>
      <c r="O351" t="str">
        <f t="shared" si="23"/>
        <v>S</v>
      </c>
      <c r="P351" t="str">
        <f t="shared" si="24"/>
        <v>17/10/2025</v>
      </c>
      <c r="Q351">
        <v>1</v>
      </c>
    </row>
    <row r="352" spans="1:17" ht="16.5" x14ac:dyDescent="0.25">
      <c r="A352">
        <v>351</v>
      </c>
      <c r="B352" t="s">
        <v>849</v>
      </c>
      <c r="C352" s="4">
        <v>45950</v>
      </c>
      <c r="D352" s="2">
        <v>45961</v>
      </c>
      <c r="E352" s="2">
        <v>45962</v>
      </c>
      <c r="F352" t="s">
        <v>47</v>
      </c>
      <c r="G352" t="s">
        <v>192</v>
      </c>
      <c r="H352" t="s">
        <v>670</v>
      </c>
      <c r="I352" t="s">
        <v>311</v>
      </c>
      <c r="J352" t="s">
        <v>779</v>
      </c>
      <c r="K352" t="s">
        <v>469</v>
      </c>
      <c r="M352" t="s">
        <v>562</v>
      </c>
      <c r="N352" t="s">
        <v>564</v>
      </c>
      <c r="O352" t="str">
        <f t="shared" si="23"/>
        <v>S</v>
      </c>
      <c r="P352" t="str">
        <f t="shared" si="24"/>
        <v>17/10/2025</v>
      </c>
      <c r="Q352">
        <v>1</v>
      </c>
    </row>
    <row r="353" spans="1:17" ht="16.5" x14ac:dyDescent="0.25">
      <c r="A353">
        <v>352</v>
      </c>
      <c r="B353" t="s">
        <v>849</v>
      </c>
      <c r="C353" s="4">
        <v>45950</v>
      </c>
      <c r="D353" s="2">
        <v>45961</v>
      </c>
      <c r="E353" s="2">
        <v>45962</v>
      </c>
      <c r="F353" t="s">
        <v>47</v>
      </c>
      <c r="G353" t="s">
        <v>192</v>
      </c>
      <c r="H353" t="s">
        <v>670</v>
      </c>
      <c r="I353" t="s">
        <v>208</v>
      </c>
      <c r="J353" t="s">
        <v>779</v>
      </c>
      <c r="K353" t="s">
        <v>469</v>
      </c>
      <c r="M353" t="s">
        <v>562</v>
      </c>
      <c r="N353" t="s">
        <v>564</v>
      </c>
      <c r="O353" t="str">
        <f t="shared" si="23"/>
        <v>S</v>
      </c>
      <c r="P353" t="str">
        <f t="shared" si="24"/>
        <v>17/10/2025</v>
      </c>
      <c r="Q353">
        <v>1</v>
      </c>
    </row>
    <row r="354" spans="1:17" ht="16.5" x14ac:dyDescent="0.25">
      <c r="A354">
        <v>353</v>
      </c>
      <c r="B354" t="s">
        <v>849</v>
      </c>
      <c r="C354" s="4">
        <v>45923</v>
      </c>
      <c r="D354" s="2">
        <v>45963</v>
      </c>
      <c r="E354" s="2">
        <v>45964</v>
      </c>
      <c r="F354" t="s">
        <v>58</v>
      </c>
      <c r="G354" t="s">
        <v>174</v>
      </c>
      <c r="H354" t="s">
        <v>670</v>
      </c>
      <c r="I354" t="s">
        <v>300</v>
      </c>
      <c r="J354" t="s">
        <v>769</v>
      </c>
      <c r="K354" t="s">
        <v>470</v>
      </c>
      <c r="M354" t="s">
        <v>562</v>
      </c>
      <c r="N354" t="s">
        <v>564</v>
      </c>
      <c r="O354" t="str">
        <f t="shared" si="23"/>
        <v>S</v>
      </c>
      <c r="P354" t="str">
        <f t="shared" si="24"/>
        <v>17/10/2025</v>
      </c>
      <c r="Q354">
        <v>1</v>
      </c>
    </row>
    <row r="355" spans="1:17" ht="16.5" x14ac:dyDescent="0.25">
      <c r="A355">
        <v>354</v>
      </c>
      <c r="B355" t="s">
        <v>849</v>
      </c>
      <c r="C355" s="4">
        <v>45923</v>
      </c>
      <c r="D355" s="2">
        <v>45963</v>
      </c>
      <c r="E355" s="2">
        <v>45964</v>
      </c>
      <c r="F355" t="s">
        <v>58</v>
      </c>
      <c r="G355" t="s">
        <v>174</v>
      </c>
      <c r="H355" t="s">
        <v>670</v>
      </c>
      <c r="I355" t="s">
        <v>208</v>
      </c>
      <c r="J355" t="s">
        <v>769</v>
      </c>
      <c r="K355" t="s">
        <v>470</v>
      </c>
      <c r="M355" t="s">
        <v>562</v>
      </c>
      <c r="N355" t="s">
        <v>564</v>
      </c>
      <c r="O355" t="str">
        <f t="shared" si="23"/>
        <v>S</v>
      </c>
      <c r="P355" t="str">
        <f t="shared" si="24"/>
        <v>17/10/2025</v>
      </c>
      <c r="Q355">
        <v>1</v>
      </c>
    </row>
    <row r="356" spans="1:17" ht="30" x14ac:dyDescent="0.25">
      <c r="A356">
        <v>355</v>
      </c>
      <c r="B356" t="s">
        <v>849</v>
      </c>
      <c r="C356" s="4">
        <v>45958</v>
      </c>
      <c r="D356" s="2">
        <v>45963</v>
      </c>
      <c r="E356" s="2">
        <v>45964</v>
      </c>
      <c r="F356" t="s">
        <v>785</v>
      </c>
      <c r="G356" t="s">
        <v>784</v>
      </c>
      <c r="H356" t="s">
        <v>787</v>
      </c>
      <c r="I356" t="s">
        <v>786</v>
      </c>
      <c r="J356" t="s">
        <v>788</v>
      </c>
      <c r="K356" t="s">
        <v>789</v>
      </c>
      <c r="M356" s="5" t="s">
        <v>562</v>
      </c>
      <c r="N356" t="s">
        <v>564</v>
      </c>
      <c r="O356" t="str">
        <f t="shared" si="23"/>
        <v>S</v>
      </c>
      <c r="P356" t="str">
        <f t="shared" si="24"/>
        <v>17/10/2025</v>
      </c>
      <c r="Q356">
        <v>1</v>
      </c>
    </row>
    <row r="357" spans="1:17" ht="30" x14ac:dyDescent="0.25">
      <c r="A357">
        <v>356</v>
      </c>
      <c r="B357" t="s">
        <v>849</v>
      </c>
      <c r="C357" s="4">
        <v>45958</v>
      </c>
      <c r="D357" s="2">
        <v>45963</v>
      </c>
      <c r="E357" s="2">
        <v>45964</v>
      </c>
      <c r="F357" t="s">
        <v>785</v>
      </c>
      <c r="G357" t="s">
        <v>784</v>
      </c>
      <c r="H357" t="s">
        <v>787</v>
      </c>
      <c r="I357" t="s">
        <v>203</v>
      </c>
      <c r="J357" t="s">
        <v>788</v>
      </c>
      <c r="K357" t="s">
        <v>789</v>
      </c>
      <c r="M357" s="5" t="s">
        <v>562</v>
      </c>
      <c r="N357" t="s">
        <v>564</v>
      </c>
      <c r="O357" t="str">
        <f t="shared" si="23"/>
        <v>S</v>
      </c>
      <c r="P357" t="str">
        <f t="shared" si="24"/>
        <v>17/10/2025</v>
      </c>
      <c r="Q357">
        <v>1</v>
      </c>
    </row>
    <row r="358" spans="1:17" ht="16.5" x14ac:dyDescent="0.25">
      <c r="A358">
        <v>357</v>
      </c>
      <c r="B358" t="s">
        <v>849</v>
      </c>
      <c r="C358" s="4">
        <v>45693</v>
      </c>
      <c r="D358" s="2">
        <v>45965</v>
      </c>
      <c r="E358" s="2">
        <v>45966</v>
      </c>
      <c r="F358" t="s">
        <v>13</v>
      </c>
      <c r="G358" t="s">
        <v>90</v>
      </c>
      <c r="H358" t="s">
        <v>583</v>
      </c>
      <c r="I358" t="s">
        <v>206</v>
      </c>
      <c r="J358" t="s">
        <v>681</v>
      </c>
      <c r="K358" t="s">
        <v>471</v>
      </c>
      <c r="M358" t="s">
        <v>562</v>
      </c>
      <c r="N358" t="s">
        <v>570</v>
      </c>
      <c r="O358" t="str">
        <f t="shared" si="23"/>
        <v>S</v>
      </c>
      <c r="P358" t="str">
        <f t="shared" si="24"/>
        <v>17/10/2025</v>
      </c>
      <c r="Q358">
        <v>1</v>
      </c>
    </row>
    <row r="359" spans="1:17" ht="16.5" x14ac:dyDescent="0.25">
      <c r="A359">
        <v>358</v>
      </c>
      <c r="B359" t="s">
        <v>849</v>
      </c>
      <c r="C359" s="4">
        <v>45693</v>
      </c>
      <c r="D359" s="2">
        <v>45965</v>
      </c>
      <c r="E359" s="2">
        <v>45966</v>
      </c>
      <c r="F359" t="s">
        <v>13</v>
      </c>
      <c r="G359" t="s">
        <v>90</v>
      </c>
      <c r="H359" t="s">
        <v>583</v>
      </c>
      <c r="I359" t="s">
        <v>208</v>
      </c>
      <c r="J359" t="s">
        <v>681</v>
      </c>
      <c r="K359" t="s">
        <v>471</v>
      </c>
      <c r="M359" t="s">
        <v>562</v>
      </c>
      <c r="N359" t="s">
        <v>570</v>
      </c>
      <c r="O359" t="str">
        <f t="shared" si="23"/>
        <v>S</v>
      </c>
      <c r="P359" t="str">
        <f t="shared" si="24"/>
        <v>17/10/2025</v>
      </c>
      <c r="Q359">
        <v>1</v>
      </c>
    </row>
    <row r="360" spans="1:17" ht="16.5" x14ac:dyDescent="0.25">
      <c r="A360">
        <v>359</v>
      </c>
      <c r="B360" t="s">
        <v>0</v>
      </c>
      <c r="C360" s="4"/>
      <c r="D360" s="2">
        <v>45970</v>
      </c>
      <c r="E360" s="2">
        <v>45971</v>
      </c>
      <c r="F360" t="s">
        <v>79</v>
      </c>
      <c r="G360" t="s">
        <v>193</v>
      </c>
      <c r="H360" t="s">
        <v>583</v>
      </c>
      <c r="J360" t="s">
        <v>681</v>
      </c>
      <c r="K360" t="s">
        <v>472</v>
      </c>
      <c r="M360" t="s">
        <v>577</v>
      </c>
      <c r="N360" t="s">
        <v>565</v>
      </c>
      <c r="O360" t="str">
        <f t="shared" si="23"/>
        <v>S</v>
      </c>
      <c r="P360" t="str">
        <f t="shared" si="24"/>
        <v/>
      </c>
      <c r="Q360">
        <v>1</v>
      </c>
    </row>
    <row r="361" spans="1:17" ht="16.5" x14ac:dyDescent="0.25">
      <c r="A361">
        <v>360</v>
      </c>
      <c r="B361" t="s">
        <v>0</v>
      </c>
      <c r="C361" s="4"/>
      <c r="D361" s="2">
        <v>45970</v>
      </c>
      <c r="E361" s="2">
        <v>45971</v>
      </c>
      <c r="F361" t="s">
        <v>79</v>
      </c>
      <c r="G361" t="s">
        <v>193</v>
      </c>
      <c r="H361" t="s">
        <v>583</v>
      </c>
      <c r="J361" t="s">
        <v>681</v>
      </c>
      <c r="K361" t="s">
        <v>472</v>
      </c>
      <c r="M361" t="s">
        <v>577</v>
      </c>
      <c r="N361" t="s">
        <v>565</v>
      </c>
      <c r="O361" t="str">
        <f t="shared" si="23"/>
        <v>S</v>
      </c>
      <c r="P361" t="str">
        <f t="shared" si="24"/>
        <v/>
      </c>
      <c r="Q361">
        <v>1</v>
      </c>
    </row>
    <row r="362" spans="1:17" ht="16.5" x14ac:dyDescent="0.25">
      <c r="A362">
        <v>361</v>
      </c>
      <c r="B362" t="s">
        <v>0</v>
      </c>
      <c r="C362" s="4">
        <v>45946</v>
      </c>
      <c r="D362" s="2">
        <v>45973</v>
      </c>
      <c r="E362" s="2">
        <v>45973</v>
      </c>
      <c r="F362" t="s">
        <v>80</v>
      </c>
      <c r="G362" t="s">
        <v>194</v>
      </c>
      <c r="H362" t="s">
        <v>671</v>
      </c>
      <c r="J362" t="s">
        <v>681</v>
      </c>
      <c r="K362" t="s">
        <v>473</v>
      </c>
      <c r="M362" t="s">
        <v>577</v>
      </c>
      <c r="N362" t="s">
        <v>565</v>
      </c>
      <c r="O362" t="str">
        <f t="shared" si="23"/>
        <v>S</v>
      </c>
      <c r="P362" t="str">
        <f t="shared" si="24"/>
        <v/>
      </c>
      <c r="Q362">
        <v>1</v>
      </c>
    </row>
    <row r="363" spans="1:17" ht="16.5" x14ac:dyDescent="0.25">
      <c r="A363">
        <v>362</v>
      </c>
      <c r="B363" t="s">
        <v>0</v>
      </c>
      <c r="C363" s="4">
        <v>45946</v>
      </c>
      <c r="D363" s="2">
        <v>45973</v>
      </c>
      <c r="E363" s="2">
        <v>45973</v>
      </c>
      <c r="F363" t="s">
        <v>80</v>
      </c>
      <c r="G363" t="s">
        <v>194</v>
      </c>
      <c r="H363" t="s">
        <v>671</v>
      </c>
      <c r="J363" t="s">
        <v>681</v>
      </c>
      <c r="K363" t="s">
        <v>473</v>
      </c>
      <c r="M363" t="s">
        <v>577</v>
      </c>
      <c r="N363" t="s">
        <v>565</v>
      </c>
      <c r="O363" t="str">
        <f t="shared" si="23"/>
        <v>S</v>
      </c>
      <c r="P363" t="str">
        <f t="shared" si="24"/>
        <v/>
      </c>
      <c r="Q363">
        <v>1</v>
      </c>
    </row>
    <row r="364" spans="1:17" ht="16.5" customHeight="1" x14ac:dyDescent="0.25">
      <c r="A364">
        <v>363</v>
      </c>
      <c r="B364" t="s">
        <v>849</v>
      </c>
      <c r="C364" s="4">
        <v>45692</v>
      </c>
      <c r="D364" s="2">
        <v>45973</v>
      </c>
      <c r="E364" s="2">
        <v>45977</v>
      </c>
      <c r="F364" t="s">
        <v>11</v>
      </c>
      <c r="G364" t="s">
        <v>106</v>
      </c>
      <c r="H364" t="s">
        <v>597</v>
      </c>
      <c r="I364" t="s">
        <v>223</v>
      </c>
      <c r="J364" t="s">
        <v>696</v>
      </c>
      <c r="K364" t="s">
        <v>474</v>
      </c>
      <c r="M364" t="s">
        <v>809</v>
      </c>
      <c r="N364" t="s">
        <v>566</v>
      </c>
      <c r="O364" t="str">
        <f t="shared" si="23"/>
        <v>S</v>
      </c>
      <c r="P364" t="str">
        <f t="shared" si="24"/>
        <v>12/11/2025</v>
      </c>
      <c r="Q364">
        <v>1</v>
      </c>
    </row>
    <row r="365" spans="1:17" ht="16.5" x14ac:dyDescent="0.25">
      <c r="A365">
        <v>364</v>
      </c>
      <c r="B365" t="s">
        <v>849</v>
      </c>
      <c r="C365" s="4">
        <v>45692</v>
      </c>
      <c r="D365" s="2">
        <v>45973</v>
      </c>
      <c r="E365" s="2">
        <v>45977</v>
      </c>
      <c r="F365" t="s">
        <v>11</v>
      </c>
      <c r="G365" t="s">
        <v>106</v>
      </c>
      <c r="H365" t="s">
        <v>597</v>
      </c>
      <c r="I365" t="s">
        <v>208</v>
      </c>
      <c r="J365" t="s">
        <v>696</v>
      </c>
      <c r="K365" t="s">
        <v>474</v>
      </c>
      <c r="M365" t="s">
        <v>809</v>
      </c>
      <c r="N365" t="s">
        <v>566</v>
      </c>
      <c r="O365" t="str">
        <f t="shared" si="23"/>
        <v>S</v>
      </c>
      <c r="P365" t="str">
        <f t="shared" si="24"/>
        <v>12/11/2025</v>
      </c>
      <c r="Q365">
        <v>1</v>
      </c>
    </row>
    <row r="366" spans="1:17" ht="16.5" x14ac:dyDescent="0.25">
      <c r="A366">
        <v>365</v>
      </c>
      <c r="B366" t="s">
        <v>849</v>
      </c>
      <c r="C366" s="4">
        <v>45923</v>
      </c>
      <c r="D366" s="2">
        <v>45974</v>
      </c>
      <c r="E366" s="2">
        <v>45975</v>
      </c>
      <c r="F366" t="s">
        <v>58</v>
      </c>
      <c r="G366" t="s">
        <v>174</v>
      </c>
      <c r="H366" t="s">
        <v>597</v>
      </c>
      <c r="I366" t="s">
        <v>300</v>
      </c>
      <c r="J366" t="s">
        <v>769</v>
      </c>
      <c r="K366" t="s">
        <v>475</v>
      </c>
      <c r="M366" t="s">
        <v>809</v>
      </c>
      <c r="N366" t="s">
        <v>566</v>
      </c>
      <c r="O366" t="str">
        <f t="shared" si="23"/>
        <v>S</v>
      </c>
      <c r="P366" t="str">
        <f t="shared" si="24"/>
        <v>12/11/2025</v>
      </c>
      <c r="Q366">
        <v>1</v>
      </c>
    </row>
    <row r="367" spans="1:17" ht="16.5" x14ac:dyDescent="0.25">
      <c r="A367">
        <v>366</v>
      </c>
      <c r="B367" t="s">
        <v>849</v>
      </c>
      <c r="C367" s="4">
        <v>45923</v>
      </c>
      <c r="D367" s="2">
        <v>45974</v>
      </c>
      <c r="E367" s="2">
        <v>45975</v>
      </c>
      <c r="F367" t="s">
        <v>58</v>
      </c>
      <c r="G367" t="s">
        <v>174</v>
      </c>
      <c r="H367" t="s">
        <v>597</v>
      </c>
      <c r="I367" t="s">
        <v>208</v>
      </c>
      <c r="J367" t="s">
        <v>769</v>
      </c>
      <c r="K367" t="s">
        <v>475</v>
      </c>
      <c r="M367" t="s">
        <v>809</v>
      </c>
      <c r="N367" t="s">
        <v>566</v>
      </c>
      <c r="O367" t="str">
        <f t="shared" si="23"/>
        <v>S</v>
      </c>
      <c r="P367" t="str">
        <f t="shared" si="24"/>
        <v>12/11/2025</v>
      </c>
      <c r="Q367">
        <v>1</v>
      </c>
    </row>
    <row r="368" spans="1:17" ht="16.5" x14ac:dyDescent="0.25">
      <c r="A368">
        <v>367</v>
      </c>
      <c r="B368" t="s">
        <v>849</v>
      </c>
      <c r="C368" s="4">
        <v>45923</v>
      </c>
      <c r="D368" s="2">
        <v>45974</v>
      </c>
      <c r="E368" s="2">
        <v>45975</v>
      </c>
      <c r="F368" t="s">
        <v>16</v>
      </c>
      <c r="G368" t="s">
        <v>195</v>
      </c>
      <c r="H368" t="s">
        <v>597</v>
      </c>
      <c r="I368" t="s">
        <v>312</v>
      </c>
      <c r="J368" t="s">
        <v>780</v>
      </c>
      <c r="K368" t="s">
        <v>476</v>
      </c>
      <c r="M368" t="s">
        <v>809</v>
      </c>
      <c r="N368" t="s">
        <v>566</v>
      </c>
      <c r="O368" t="str">
        <f t="shared" si="23"/>
        <v>S</v>
      </c>
      <c r="P368" t="str">
        <f t="shared" si="24"/>
        <v>12/11/2025</v>
      </c>
      <c r="Q368">
        <v>1</v>
      </c>
    </row>
    <row r="369" spans="1:17" ht="16.5" x14ac:dyDescent="0.25">
      <c r="A369">
        <v>368</v>
      </c>
      <c r="B369" t="s">
        <v>849</v>
      </c>
      <c r="C369" s="4">
        <v>45923</v>
      </c>
      <c r="D369" s="2">
        <v>45974</v>
      </c>
      <c r="E369" s="2">
        <v>45975</v>
      </c>
      <c r="F369" t="s">
        <v>16</v>
      </c>
      <c r="G369" t="s">
        <v>195</v>
      </c>
      <c r="H369" t="s">
        <v>597</v>
      </c>
      <c r="I369" t="s">
        <v>208</v>
      </c>
      <c r="J369" t="s">
        <v>780</v>
      </c>
      <c r="K369" t="s">
        <v>476</v>
      </c>
      <c r="M369" t="s">
        <v>809</v>
      </c>
      <c r="N369" t="s">
        <v>566</v>
      </c>
      <c r="O369" t="str">
        <f t="shared" si="23"/>
        <v>S</v>
      </c>
      <c r="P369" t="str">
        <f t="shared" si="24"/>
        <v>12/11/2025</v>
      </c>
      <c r="Q369">
        <v>1</v>
      </c>
    </row>
    <row r="370" spans="1:17" ht="16.5" x14ac:dyDescent="0.25">
      <c r="A370">
        <v>369</v>
      </c>
      <c r="B370" t="s">
        <v>849</v>
      </c>
      <c r="C370" s="4">
        <v>45958</v>
      </c>
      <c r="D370" s="2">
        <v>45974</v>
      </c>
      <c r="E370" s="2">
        <v>45975</v>
      </c>
      <c r="F370" t="s">
        <v>785</v>
      </c>
      <c r="G370" t="s">
        <v>784</v>
      </c>
      <c r="H370" t="s">
        <v>787</v>
      </c>
      <c r="I370" t="s">
        <v>786</v>
      </c>
      <c r="J370" t="s">
        <v>788</v>
      </c>
      <c r="K370" t="s">
        <v>790</v>
      </c>
      <c r="M370" t="s">
        <v>809</v>
      </c>
      <c r="N370" t="s">
        <v>566</v>
      </c>
      <c r="O370" t="str">
        <f t="shared" si="23"/>
        <v>S</v>
      </c>
      <c r="P370" t="str">
        <f t="shared" si="24"/>
        <v>12/11/2025</v>
      </c>
      <c r="Q370">
        <v>1</v>
      </c>
    </row>
    <row r="371" spans="1:17" ht="16.5" x14ac:dyDescent="0.25">
      <c r="A371">
        <v>370</v>
      </c>
      <c r="B371" t="s">
        <v>849</v>
      </c>
      <c r="C371" s="4">
        <v>45958</v>
      </c>
      <c r="D371" s="2">
        <v>45974</v>
      </c>
      <c r="E371" s="2">
        <v>45975</v>
      </c>
      <c r="F371" t="s">
        <v>785</v>
      </c>
      <c r="G371" t="s">
        <v>784</v>
      </c>
      <c r="H371" t="s">
        <v>787</v>
      </c>
      <c r="I371" t="s">
        <v>208</v>
      </c>
      <c r="J371" t="s">
        <v>788</v>
      </c>
      <c r="K371" t="s">
        <v>790</v>
      </c>
      <c r="M371" t="s">
        <v>809</v>
      </c>
      <c r="N371" t="s">
        <v>566</v>
      </c>
      <c r="O371" t="str">
        <f t="shared" si="23"/>
        <v>S</v>
      </c>
      <c r="P371" t="str">
        <f t="shared" si="24"/>
        <v>12/11/2025</v>
      </c>
      <c r="Q371">
        <v>1</v>
      </c>
    </row>
    <row r="372" spans="1:17" ht="16.5" x14ac:dyDescent="0.25">
      <c r="A372">
        <v>371</v>
      </c>
      <c r="B372" t="s">
        <v>849</v>
      </c>
      <c r="C372" s="4">
        <v>45728</v>
      </c>
      <c r="D372" s="2">
        <v>45975</v>
      </c>
      <c r="E372" s="2">
        <v>45976</v>
      </c>
      <c r="F372" t="s">
        <v>22</v>
      </c>
      <c r="G372" t="s">
        <v>105</v>
      </c>
      <c r="H372" t="s">
        <v>597</v>
      </c>
      <c r="I372" t="s">
        <v>221</v>
      </c>
      <c r="J372" t="s">
        <v>694</v>
      </c>
      <c r="K372" t="s">
        <v>475</v>
      </c>
      <c r="M372" t="s">
        <v>809</v>
      </c>
      <c r="N372" t="s">
        <v>566</v>
      </c>
      <c r="O372" t="str">
        <f t="shared" si="23"/>
        <v>S</v>
      </c>
      <c r="P372" t="str">
        <f t="shared" si="24"/>
        <v>12/11/2025</v>
      </c>
      <c r="Q372">
        <v>1</v>
      </c>
    </row>
    <row r="373" spans="1:17" ht="16.5" x14ac:dyDescent="0.25">
      <c r="A373">
        <v>372</v>
      </c>
      <c r="B373" t="s">
        <v>849</v>
      </c>
      <c r="C373" s="4">
        <v>45728</v>
      </c>
      <c r="D373" s="2">
        <v>45975</v>
      </c>
      <c r="E373" s="2">
        <v>45976</v>
      </c>
      <c r="F373" t="s">
        <v>22</v>
      </c>
      <c r="G373" t="s">
        <v>105</v>
      </c>
      <c r="H373" t="s">
        <v>597</v>
      </c>
      <c r="I373" t="s">
        <v>208</v>
      </c>
      <c r="J373" t="s">
        <v>694</v>
      </c>
      <c r="K373" t="s">
        <v>475</v>
      </c>
      <c r="M373" t="s">
        <v>809</v>
      </c>
      <c r="N373" t="s">
        <v>566</v>
      </c>
      <c r="O373" t="str">
        <f t="shared" si="23"/>
        <v>S</v>
      </c>
      <c r="P373" t="str">
        <f t="shared" si="24"/>
        <v>12/11/2025</v>
      </c>
      <c r="Q373">
        <v>1</v>
      </c>
    </row>
    <row r="374" spans="1:17" ht="16.5" x14ac:dyDescent="0.25">
      <c r="A374">
        <v>373</v>
      </c>
      <c r="B374" t="s">
        <v>849</v>
      </c>
      <c r="C374" s="4">
        <v>45939</v>
      </c>
      <c r="D374" s="2">
        <v>45975</v>
      </c>
      <c r="E374" s="2">
        <v>45976</v>
      </c>
      <c r="F374" t="s">
        <v>36</v>
      </c>
      <c r="G374" t="s">
        <v>196</v>
      </c>
      <c r="H374" t="s">
        <v>672</v>
      </c>
      <c r="I374" t="s">
        <v>313</v>
      </c>
      <c r="J374" t="s">
        <v>781</v>
      </c>
      <c r="K374" t="s">
        <v>477</v>
      </c>
      <c r="M374" t="s">
        <v>809</v>
      </c>
      <c r="N374" t="s">
        <v>566</v>
      </c>
      <c r="O374" t="str">
        <f t="shared" si="23"/>
        <v>S</v>
      </c>
      <c r="P374" t="str">
        <f t="shared" si="24"/>
        <v>12/11/2025</v>
      </c>
      <c r="Q374">
        <v>1</v>
      </c>
    </row>
    <row r="375" spans="1:17" ht="16.5" x14ac:dyDescent="0.25">
      <c r="A375">
        <v>374</v>
      </c>
      <c r="B375" t="s">
        <v>849</v>
      </c>
      <c r="C375" s="4">
        <v>45939</v>
      </c>
      <c r="D375" s="2">
        <v>45975</v>
      </c>
      <c r="E375" s="2">
        <v>45976</v>
      </c>
      <c r="F375" t="s">
        <v>36</v>
      </c>
      <c r="G375" t="s">
        <v>196</v>
      </c>
      <c r="H375" t="s">
        <v>672</v>
      </c>
      <c r="I375" t="s">
        <v>208</v>
      </c>
      <c r="J375" t="s">
        <v>781</v>
      </c>
      <c r="K375" t="s">
        <v>477</v>
      </c>
      <c r="M375" t="s">
        <v>809</v>
      </c>
      <c r="N375" t="s">
        <v>566</v>
      </c>
      <c r="O375" t="str">
        <f t="shared" si="23"/>
        <v>S</v>
      </c>
      <c r="P375" t="str">
        <f t="shared" si="24"/>
        <v>12/11/2025</v>
      </c>
      <c r="Q375">
        <v>1</v>
      </c>
    </row>
    <row r="376" spans="1:17" ht="16.5" x14ac:dyDescent="0.25">
      <c r="A376">
        <v>375</v>
      </c>
      <c r="B376" t="s">
        <v>849</v>
      </c>
      <c r="C376" s="4">
        <v>45924</v>
      </c>
      <c r="D376" s="2">
        <v>45976</v>
      </c>
      <c r="E376" s="2">
        <v>45977</v>
      </c>
      <c r="F376" t="s">
        <v>81</v>
      </c>
      <c r="G376" t="s">
        <v>197</v>
      </c>
      <c r="H376" t="s">
        <v>673</v>
      </c>
      <c r="I376" t="s">
        <v>314</v>
      </c>
      <c r="J376" t="s">
        <v>782</v>
      </c>
      <c r="K376" t="s">
        <v>478</v>
      </c>
      <c r="M376" t="s">
        <v>809</v>
      </c>
      <c r="N376" t="s">
        <v>566</v>
      </c>
      <c r="O376" t="str">
        <f t="shared" ref="O376:O407" si="25">IF(OR(ISNUMBER(FIND("ENTREGUES",M376)),N376="Preto",N376="Cinza"),"S","N")</f>
        <v>S</v>
      </c>
      <c r="P376" t="str">
        <f t="shared" ref="P376:P407" si="26">IF(N376="Preto", "", MID(M376, FIND("em ", M376) + 3, 10))</f>
        <v>12/11/2025</v>
      </c>
      <c r="Q376">
        <v>1</v>
      </c>
    </row>
    <row r="377" spans="1:17" ht="16.5" x14ac:dyDescent="0.25">
      <c r="A377">
        <v>376</v>
      </c>
      <c r="B377" t="s">
        <v>849</v>
      </c>
      <c r="C377" s="4">
        <v>45924</v>
      </c>
      <c r="D377" s="2">
        <v>45976</v>
      </c>
      <c r="E377" s="2">
        <v>45977</v>
      </c>
      <c r="F377" t="s">
        <v>81</v>
      </c>
      <c r="G377" t="s">
        <v>197</v>
      </c>
      <c r="H377" t="s">
        <v>673</v>
      </c>
      <c r="I377" t="s">
        <v>208</v>
      </c>
      <c r="J377" t="s">
        <v>782</v>
      </c>
      <c r="K377" t="s">
        <v>478</v>
      </c>
      <c r="M377" t="s">
        <v>809</v>
      </c>
      <c r="N377" t="s">
        <v>566</v>
      </c>
      <c r="O377" t="str">
        <f t="shared" si="25"/>
        <v>S</v>
      </c>
      <c r="P377" t="str">
        <f t="shared" si="26"/>
        <v>12/11/2025</v>
      </c>
      <c r="Q377">
        <v>1</v>
      </c>
    </row>
    <row r="378" spans="1:17" ht="16.5" x14ac:dyDescent="0.25">
      <c r="A378">
        <v>377</v>
      </c>
      <c r="B378" t="s">
        <v>849</v>
      </c>
      <c r="C378" s="4">
        <v>45904</v>
      </c>
      <c r="D378" s="2">
        <v>45976</v>
      </c>
      <c r="E378" s="2">
        <v>45977</v>
      </c>
      <c r="F378" t="s">
        <v>74</v>
      </c>
      <c r="G378" t="s">
        <v>185</v>
      </c>
      <c r="H378" t="s">
        <v>664</v>
      </c>
      <c r="I378" t="s">
        <v>304</v>
      </c>
      <c r="J378" t="s">
        <v>772</v>
      </c>
      <c r="K378" t="s">
        <v>479</v>
      </c>
      <c r="M378" t="s">
        <v>809</v>
      </c>
      <c r="N378" t="s">
        <v>566</v>
      </c>
      <c r="O378" t="str">
        <f t="shared" si="25"/>
        <v>S</v>
      </c>
      <c r="P378" t="str">
        <f t="shared" si="26"/>
        <v>12/11/2025</v>
      </c>
      <c r="Q378">
        <v>1</v>
      </c>
    </row>
    <row r="379" spans="1:17" ht="16.5" x14ac:dyDescent="0.25">
      <c r="A379">
        <v>378</v>
      </c>
      <c r="B379" t="s">
        <v>849</v>
      </c>
      <c r="C379" s="4">
        <v>45904</v>
      </c>
      <c r="D379" s="2">
        <v>45976</v>
      </c>
      <c r="E379" s="2">
        <v>45977</v>
      </c>
      <c r="F379" t="s">
        <v>74</v>
      </c>
      <c r="G379" t="s">
        <v>185</v>
      </c>
      <c r="H379" t="s">
        <v>664</v>
      </c>
      <c r="I379" t="s">
        <v>208</v>
      </c>
      <c r="J379" t="s">
        <v>772</v>
      </c>
      <c r="K379" t="s">
        <v>479</v>
      </c>
      <c r="M379" t="s">
        <v>809</v>
      </c>
      <c r="N379" t="s">
        <v>566</v>
      </c>
      <c r="O379" t="str">
        <f t="shared" si="25"/>
        <v>S</v>
      </c>
      <c r="P379" t="str">
        <f t="shared" si="26"/>
        <v>12/11/2025</v>
      </c>
      <c r="Q379">
        <v>1</v>
      </c>
    </row>
    <row r="380" spans="1:17" ht="16.5" x14ac:dyDescent="0.25">
      <c r="A380">
        <v>379</v>
      </c>
      <c r="B380" t="s">
        <v>849</v>
      </c>
      <c r="C380" s="4">
        <v>45652</v>
      </c>
      <c r="D380" s="2">
        <v>45978</v>
      </c>
      <c r="E380" s="2">
        <v>45978</v>
      </c>
      <c r="F380" t="s">
        <v>57</v>
      </c>
      <c r="G380" t="s">
        <v>88</v>
      </c>
      <c r="H380" t="s">
        <v>581</v>
      </c>
      <c r="I380" t="s">
        <v>204</v>
      </c>
      <c r="J380" t="s">
        <v>679</v>
      </c>
      <c r="K380" t="s">
        <v>480</v>
      </c>
      <c r="M380" t="s">
        <v>809</v>
      </c>
      <c r="N380" t="s">
        <v>564</v>
      </c>
      <c r="O380" t="str">
        <f t="shared" si="25"/>
        <v>S</v>
      </c>
      <c r="P380" t="str">
        <f t="shared" si="26"/>
        <v>12/11/2025</v>
      </c>
      <c r="Q380">
        <v>1</v>
      </c>
    </row>
    <row r="381" spans="1:17" ht="16.5" x14ac:dyDescent="0.25">
      <c r="A381">
        <v>380</v>
      </c>
      <c r="B381" t="s">
        <v>849</v>
      </c>
      <c r="C381" s="4">
        <v>45652</v>
      </c>
      <c r="D381" s="2">
        <v>45978</v>
      </c>
      <c r="E381" s="2">
        <v>45978</v>
      </c>
      <c r="F381" t="s">
        <v>57</v>
      </c>
      <c r="G381" t="s">
        <v>88</v>
      </c>
      <c r="H381" t="s">
        <v>581</v>
      </c>
      <c r="I381" t="s">
        <v>208</v>
      </c>
      <c r="J381" t="s">
        <v>679</v>
      </c>
      <c r="K381" t="s">
        <v>480</v>
      </c>
      <c r="M381" t="s">
        <v>809</v>
      </c>
      <c r="N381" t="s">
        <v>564</v>
      </c>
      <c r="O381" t="str">
        <f t="shared" si="25"/>
        <v>S</v>
      </c>
      <c r="P381" t="str">
        <f t="shared" si="26"/>
        <v>12/11/2025</v>
      </c>
      <c r="Q381">
        <v>1</v>
      </c>
    </row>
    <row r="382" spans="1:17" ht="16.5" x14ac:dyDescent="0.25">
      <c r="A382">
        <v>381</v>
      </c>
      <c r="B382" t="s">
        <v>849</v>
      </c>
      <c r="C382" s="4">
        <v>45728</v>
      </c>
      <c r="D382" s="2">
        <v>45978</v>
      </c>
      <c r="E382" s="2">
        <v>45979</v>
      </c>
      <c r="F382" t="s">
        <v>22</v>
      </c>
      <c r="G382" t="s">
        <v>105</v>
      </c>
      <c r="H382" t="s">
        <v>596</v>
      </c>
      <c r="I382" t="s">
        <v>221</v>
      </c>
      <c r="J382" t="s">
        <v>694</v>
      </c>
      <c r="K382" t="s">
        <v>481</v>
      </c>
      <c r="M382" t="s">
        <v>809</v>
      </c>
      <c r="N382" t="s">
        <v>564</v>
      </c>
      <c r="O382" t="str">
        <f t="shared" si="25"/>
        <v>S</v>
      </c>
      <c r="P382" t="str">
        <f t="shared" si="26"/>
        <v>12/11/2025</v>
      </c>
      <c r="Q382">
        <v>1</v>
      </c>
    </row>
    <row r="383" spans="1:17" ht="16.5" x14ac:dyDescent="0.25">
      <c r="A383">
        <v>382</v>
      </c>
      <c r="B383" t="s">
        <v>849</v>
      </c>
      <c r="C383" s="4">
        <v>45728</v>
      </c>
      <c r="D383" s="2">
        <v>45978</v>
      </c>
      <c r="E383" s="2">
        <v>45979</v>
      </c>
      <c r="F383" t="s">
        <v>22</v>
      </c>
      <c r="G383" t="s">
        <v>105</v>
      </c>
      <c r="H383" t="s">
        <v>596</v>
      </c>
      <c r="I383" t="s">
        <v>208</v>
      </c>
      <c r="J383" t="s">
        <v>694</v>
      </c>
      <c r="K383" t="s">
        <v>481</v>
      </c>
      <c r="M383" t="s">
        <v>809</v>
      </c>
      <c r="N383" t="s">
        <v>564</v>
      </c>
      <c r="O383" t="str">
        <f t="shared" si="25"/>
        <v>S</v>
      </c>
      <c r="P383" t="str">
        <f t="shared" si="26"/>
        <v>12/11/2025</v>
      </c>
      <c r="Q383">
        <v>1</v>
      </c>
    </row>
    <row r="384" spans="1:17" ht="16.5" x14ac:dyDescent="0.25">
      <c r="A384">
        <v>383</v>
      </c>
      <c r="B384" t="s">
        <v>849</v>
      </c>
      <c r="C384" s="4">
        <v>45924</v>
      </c>
      <c r="D384" s="2">
        <v>45978</v>
      </c>
      <c r="E384" s="2">
        <v>45978</v>
      </c>
      <c r="F384" t="s">
        <v>82</v>
      </c>
      <c r="G384" t="s">
        <v>198</v>
      </c>
      <c r="H384" t="s">
        <v>674</v>
      </c>
      <c r="I384" t="s">
        <v>315</v>
      </c>
      <c r="J384" t="s">
        <v>783</v>
      </c>
      <c r="K384" t="s">
        <v>482</v>
      </c>
      <c r="M384" t="s">
        <v>809</v>
      </c>
      <c r="N384" t="s">
        <v>564</v>
      </c>
      <c r="O384" t="str">
        <f t="shared" si="25"/>
        <v>S</v>
      </c>
      <c r="P384" t="str">
        <f t="shared" si="26"/>
        <v>12/11/2025</v>
      </c>
      <c r="Q384">
        <v>1</v>
      </c>
    </row>
    <row r="385" spans="1:17" ht="16.5" x14ac:dyDescent="0.25">
      <c r="A385">
        <v>384</v>
      </c>
      <c r="B385" t="s">
        <v>849</v>
      </c>
      <c r="C385" s="4">
        <v>45924</v>
      </c>
      <c r="D385" s="2">
        <v>45978</v>
      </c>
      <c r="E385" s="2">
        <v>45978</v>
      </c>
      <c r="F385" t="s">
        <v>82</v>
      </c>
      <c r="G385" t="s">
        <v>198</v>
      </c>
      <c r="H385" t="s">
        <v>674</v>
      </c>
      <c r="I385" t="s">
        <v>208</v>
      </c>
      <c r="J385" t="s">
        <v>783</v>
      </c>
      <c r="K385" t="s">
        <v>482</v>
      </c>
      <c r="M385" t="s">
        <v>809</v>
      </c>
      <c r="N385" t="s">
        <v>564</v>
      </c>
      <c r="O385" t="str">
        <f t="shared" si="25"/>
        <v>S</v>
      </c>
      <c r="P385" t="str">
        <f t="shared" si="26"/>
        <v>12/11/2025</v>
      </c>
      <c r="Q385">
        <v>1</v>
      </c>
    </row>
    <row r="386" spans="1:17" ht="16.5" x14ac:dyDescent="0.25">
      <c r="A386">
        <v>385</v>
      </c>
      <c r="B386" t="s">
        <v>849</v>
      </c>
      <c r="C386" s="4">
        <v>45692</v>
      </c>
      <c r="D386" s="2">
        <v>45980</v>
      </c>
      <c r="E386" s="2">
        <v>45980</v>
      </c>
      <c r="F386" t="s">
        <v>11</v>
      </c>
      <c r="G386" t="s">
        <v>106</v>
      </c>
      <c r="H386" t="s">
        <v>597</v>
      </c>
      <c r="I386" t="s">
        <v>223</v>
      </c>
      <c r="J386" t="s">
        <v>696</v>
      </c>
      <c r="K386" t="s">
        <v>483</v>
      </c>
      <c r="M386" t="s">
        <v>810</v>
      </c>
      <c r="N386" t="s">
        <v>567</v>
      </c>
      <c r="O386" t="str">
        <f t="shared" si="25"/>
        <v>S</v>
      </c>
      <c r="P386" t="str">
        <f t="shared" si="26"/>
        <v>19/11/2025</v>
      </c>
      <c r="Q386">
        <v>1</v>
      </c>
    </row>
    <row r="387" spans="1:17" ht="16.5" x14ac:dyDescent="0.25">
      <c r="A387">
        <v>386</v>
      </c>
      <c r="B387" t="s">
        <v>849</v>
      </c>
      <c r="C387" s="4">
        <v>45692</v>
      </c>
      <c r="D387" s="2">
        <v>45980</v>
      </c>
      <c r="E387" s="2">
        <v>45980</v>
      </c>
      <c r="F387" t="s">
        <v>11</v>
      </c>
      <c r="G387" t="s">
        <v>106</v>
      </c>
      <c r="H387" t="s">
        <v>597</v>
      </c>
      <c r="I387" t="s">
        <v>208</v>
      </c>
      <c r="J387" t="s">
        <v>696</v>
      </c>
      <c r="K387" t="s">
        <v>483</v>
      </c>
      <c r="M387" t="s">
        <v>810</v>
      </c>
      <c r="N387" t="s">
        <v>567</v>
      </c>
      <c r="O387" t="str">
        <f t="shared" si="25"/>
        <v>S</v>
      </c>
      <c r="P387" t="str">
        <f t="shared" si="26"/>
        <v>19/11/2025</v>
      </c>
      <c r="Q387">
        <v>1</v>
      </c>
    </row>
    <row r="388" spans="1:17" ht="16.5" x14ac:dyDescent="0.25">
      <c r="A388">
        <v>387</v>
      </c>
      <c r="B388" t="s">
        <v>0</v>
      </c>
      <c r="C388" s="4"/>
      <c r="D388" s="2">
        <v>45980</v>
      </c>
      <c r="E388" s="2">
        <v>45981</v>
      </c>
      <c r="F388" t="s">
        <v>79</v>
      </c>
      <c r="H388" t="s">
        <v>597</v>
      </c>
      <c r="J388" t="s">
        <v>696</v>
      </c>
      <c r="K388" t="s">
        <v>484</v>
      </c>
      <c r="M388" t="s">
        <v>577</v>
      </c>
      <c r="N388" t="s">
        <v>565</v>
      </c>
      <c r="O388" t="str">
        <f t="shared" si="25"/>
        <v>S</v>
      </c>
      <c r="P388" t="str">
        <f t="shared" si="26"/>
        <v/>
      </c>
      <c r="Q388">
        <v>1</v>
      </c>
    </row>
    <row r="389" spans="1:17" ht="16.5" x14ac:dyDescent="0.25">
      <c r="A389">
        <v>388</v>
      </c>
      <c r="B389" t="s">
        <v>0</v>
      </c>
      <c r="C389" s="4"/>
      <c r="D389" s="2">
        <v>45980</v>
      </c>
      <c r="E389" s="2">
        <v>45981</v>
      </c>
      <c r="F389" t="s">
        <v>79</v>
      </c>
      <c r="H389" t="s">
        <v>597</v>
      </c>
      <c r="J389" t="s">
        <v>696</v>
      </c>
      <c r="K389" t="s">
        <v>484</v>
      </c>
      <c r="M389" t="s">
        <v>577</v>
      </c>
      <c r="N389" t="s">
        <v>565</v>
      </c>
      <c r="O389" t="str">
        <f t="shared" si="25"/>
        <v>S</v>
      </c>
      <c r="P389" t="str">
        <f t="shared" si="26"/>
        <v/>
      </c>
      <c r="Q389">
        <v>1</v>
      </c>
    </row>
    <row r="390" spans="1:17" ht="16.5" x14ac:dyDescent="0.25">
      <c r="A390">
        <v>389</v>
      </c>
      <c r="B390" t="s">
        <v>849</v>
      </c>
      <c r="C390" s="4">
        <v>45652</v>
      </c>
      <c r="D390" s="2">
        <v>45981</v>
      </c>
      <c r="E390" s="2">
        <v>45985</v>
      </c>
      <c r="F390" t="s">
        <v>6</v>
      </c>
      <c r="G390" t="s">
        <v>88</v>
      </c>
      <c r="H390" t="s">
        <v>581</v>
      </c>
      <c r="I390" t="s">
        <v>204</v>
      </c>
      <c r="J390" t="s">
        <v>679</v>
      </c>
      <c r="K390" t="s">
        <v>485</v>
      </c>
      <c r="M390" t="s">
        <v>810</v>
      </c>
      <c r="N390" t="s">
        <v>572</v>
      </c>
      <c r="O390" t="str">
        <f t="shared" si="25"/>
        <v>S</v>
      </c>
      <c r="P390" t="str">
        <f t="shared" si="26"/>
        <v>19/11/2025</v>
      </c>
      <c r="Q390">
        <v>1</v>
      </c>
    </row>
    <row r="391" spans="1:17" ht="16.5" x14ac:dyDescent="0.25">
      <c r="A391">
        <v>390</v>
      </c>
      <c r="B391" t="s">
        <v>849</v>
      </c>
      <c r="C391" s="4">
        <v>45652</v>
      </c>
      <c r="D391" s="2">
        <v>45981</v>
      </c>
      <c r="E391" s="2">
        <v>45985</v>
      </c>
      <c r="F391" t="s">
        <v>6</v>
      </c>
      <c r="G391" t="s">
        <v>88</v>
      </c>
      <c r="H391" t="s">
        <v>581</v>
      </c>
      <c r="I391" t="s">
        <v>208</v>
      </c>
      <c r="J391" t="s">
        <v>679</v>
      </c>
      <c r="K391" t="s">
        <v>485</v>
      </c>
      <c r="M391" t="s">
        <v>810</v>
      </c>
      <c r="N391" t="s">
        <v>572</v>
      </c>
      <c r="O391" t="str">
        <f t="shared" si="25"/>
        <v>S</v>
      </c>
      <c r="P391" t="str">
        <f t="shared" si="26"/>
        <v>19/11/2025</v>
      </c>
      <c r="Q391">
        <v>1</v>
      </c>
    </row>
    <row r="392" spans="1:17" ht="16.5" x14ac:dyDescent="0.25">
      <c r="A392">
        <v>391</v>
      </c>
      <c r="B392" t="s">
        <v>849</v>
      </c>
      <c r="C392" s="4">
        <v>45923</v>
      </c>
      <c r="D392" s="2">
        <v>45981</v>
      </c>
      <c r="E392" s="2">
        <v>45985</v>
      </c>
      <c r="F392" t="s">
        <v>58</v>
      </c>
      <c r="G392" t="s">
        <v>174</v>
      </c>
      <c r="H392" t="s">
        <v>581</v>
      </c>
      <c r="I392" t="s">
        <v>300</v>
      </c>
      <c r="J392" t="s">
        <v>769</v>
      </c>
      <c r="K392" t="s">
        <v>486</v>
      </c>
      <c r="M392" t="s">
        <v>810</v>
      </c>
      <c r="N392" t="s">
        <v>572</v>
      </c>
      <c r="O392" t="str">
        <f t="shared" si="25"/>
        <v>S</v>
      </c>
      <c r="P392" t="str">
        <f t="shared" si="26"/>
        <v>19/11/2025</v>
      </c>
      <c r="Q392">
        <v>1</v>
      </c>
    </row>
    <row r="393" spans="1:17" ht="16.5" x14ac:dyDescent="0.25">
      <c r="A393">
        <v>392</v>
      </c>
      <c r="B393" t="s">
        <v>849</v>
      </c>
      <c r="C393" s="4">
        <v>45923</v>
      </c>
      <c r="D393" s="2">
        <v>45981</v>
      </c>
      <c r="E393" s="2">
        <v>45985</v>
      </c>
      <c r="F393" t="s">
        <v>58</v>
      </c>
      <c r="G393" t="s">
        <v>174</v>
      </c>
      <c r="H393" t="s">
        <v>581</v>
      </c>
      <c r="I393" t="s">
        <v>208</v>
      </c>
      <c r="J393" t="s">
        <v>769</v>
      </c>
      <c r="K393" t="s">
        <v>486</v>
      </c>
      <c r="M393" t="s">
        <v>810</v>
      </c>
      <c r="N393" t="s">
        <v>572</v>
      </c>
      <c r="O393" t="str">
        <f t="shared" si="25"/>
        <v>S</v>
      </c>
      <c r="P393" t="str">
        <f t="shared" si="26"/>
        <v>19/11/2025</v>
      </c>
      <c r="Q393">
        <v>1</v>
      </c>
    </row>
    <row r="394" spans="1:17" ht="16.5" x14ac:dyDescent="0.25">
      <c r="A394">
        <v>393</v>
      </c>
      <c r="B394" t="s">
        <v>849</v>
      </c>
      <c r="C394" s="4">
        <v>45958</v>
      </c>
      <c r="D394" s="2">
        <v>45984</v>
      </c>
      <c r="E394" s="2">
        <v>45985</v>
      </c>
      <c r="F394" t="s">
        <v>785</v>
      </c>
      <c r="G394" t="s">
        <v>784</v>
      </c>
      <c r="H394" t="s">
        <v>787</v>
      </c>
      <c r="I394" t="s">
        <v>786</v>
      </c>
      <c r="J394" t="s">
        <v>788</v>
      </c>
      <c r="K394" t="s">
        <v>791</v>
      </c>
      <c r="M394" t="s">
        <v>810</v>
      </c>
      <c r="N394" t="s">
        <v>572</v>
      </c>
      <c r="O394" t="str">
        <f t="shared" si="25"/>
        <v>S</v>
      </c>
      <c r="P394" t="str">
        <f t="shared" si="26"/>
        <v>19/11/2025</v>
      </c>
      <c r="Q394">
        <v>1</v>
      </c>
    </row>
    <row r="395" spans="1:17" ht="16.5" x14ac:dyDescent="0.25">
      <c r="A395">
        <v>394</v>
      </c>
      <c r="B395" t="s">
        <v>849</v>
      </c>
      <c r="C395" s="4">
        <v>45958</v>
      </c>
      <c r="D395" s="2">
        <v>45984</v>
      </c>
      <c r="E395" s="2">
        <v>45985</v>
      </c>
      <c r="F395" t="s">
        <v>785</v>
      </c>
      <c r="G395" t="s">
        <v>784</v>
      </c>
      <c r="H395" t="s">
        <v>787</v>
      </c>
      <c r="I395" t="s">
        <v>208</v>
      </c>
      <c r="J395" t="s">
        <v>788</v>
      </c>
      <c r="K395" t="s">
        <v>791</v>
      </c>
      <c r="M395" t="s">
        <v>810</v>
      </c>
      <c r="N395" t="s">
        <v>572</v>
      </c>
      <c r="O395" t="str">
        <f t="shared" si="25"/>
        <v>S</v>
      </c>
      <c r="P395" t="str">
        <f t="shared" si="26"/>
        <v>19/11/2025</v>
      </c>
      <c r="Q395">
        <v>1</v>
      </c>
    </row>
    <row r="396" spans="1:17" ht="16.5" x14ac:dyDescent="0.25">
      <c r="A396">
        <v>395</v>
      </c>
      <c r="B396" t="s">
        <v>0</v>
      </c>
      <c r="C396" s="4">
        <v>45933</v>
      </c>
      <c r="D396" s="2">
        <v>45985</v>
      </c>
      <c r="E396" s="2">
        <v>45985</v>
      </c>
      <c r="F396" t="s">
        <v>83</v>
      </c>
      <c r="G396" t="s">
        <v>199</v>
      </c>
      <c r="H396" t="s">
        <v>675</v>
      </c>
      <c r="I396" t="s">
        <v>514</v>
      </c>
      <c r="K396" t="s">
        <v>487</v>
      </c>
      <c r="M396" t="s">
        <v>577</v>
      </c>
      <c r="N396" t="s">
        <v>565</v>
      </c>
      <c r="O396" t="str">
        <f t="shared" si="25"/>
        <v>S</v>
      </c>
      <c r="P396" t="str">
        <f t="shared" si="26"/>
        <v/>
      </c>
      <c r="Q396">
        <v>1</v>
      </c>
    </row>
    <row r="397" spans="1:17" ht="16.5" x14ac:dyDescent="0.25">
      <c r="A397">
        <v>396</v>
      </c>
      <c r="B397" t="s">
        <v>0</v>
      </c>
      <c r="C397" s="4">
        <v>45933</v>
      </c>
      <c r="D397" s="2">
        <v>45985</v>
      </c>
      <c r="E397" s="2">
        <v>45985</v>
      </c>
      <c r="F397" t="s">
        <v>83</v>
      </c>
      <c r="G397" t="s">
        <v>199</v>
      </c>
      <c r="H397" t="s">
        <v>675</v>
      </c>
      <c r="I397" t="s">
        <v>514</v>
      </c>
      <c r="K397" t="s">
        <v>487</v>
      </c>
      <c r="M397" t="s">
        <v>577</v>
      </c>
      <c r="N397" t="s">
        <v>565</v>
      </c>
      <c r="O397" t="str">
        <f t="shared" si="25"/>
        <v>S</v>
      </c>
      <c r="P397" t="str">
        <f t="shared" si="26"/>
        <v/>
      </c>
      <c r="Q397">
        <v>1</v>
      </c>
    </row>
    <row r="398" spans="1:17" ht="16.5" x14ac:dyDescent="0.25">
      <c r="A398">
        <v>397</v>
      </c>
      <c r="B398" t="s">
        <v>0</v>
      </c>
      <c r="C398" s="4">
        <v>45967</v>
      </c>
      <c r="D398" s="2">
        <v>45985</v>
      </c>
      <c r="E398" s="2">
        <v>45985</v>
      </c>
      <c r="F398" s="5" t="s">
        <v>811</v>
      </c>
      <c r="G398" t="s">
        <v>812</v>
      </c>
      <c r="H398" t="s">
        <v>813</v>
      </c>
      <c r="I398" t="s">
        <v>815</v>
      </c>
      <c r="J398" t="s">
        <v>816</v>
      </c>
      <c r="K398" t="s">
        <v>814</v>
      </c>
      <c r="M398" t="s">
        <v>577</v>
      </c>
      <c r="N398" t="s">
        <v>565</v>
      </c>
      <c r="O398" t="str">
        <f t="shared" si="25"/>
        <v>S</v>
      </c>
      <c r="P398" t="str">
        <f t="shared" si="26"/>
        <v/>
      </c>
      <c r="Q398">
        <v>1</v>
      </c>
    </row>
    <row r="399" spans="1:17" ht="16.5" x14ac:dyDescent="0.25">
      <c r="A399">
        <v>398</v>
      </c>
      <c r="B399" t="s">
        <v>0</v>
      </c>
      <c r="C399" s="4">
        <v>45967</v>
      </c>
      <c r="D399" s="2">
        <v>45985</v>
      </c>
      <c r="E399" s="2">
        <v>45985</v>
      </c>
      <c r="F399" s="5" t="s">
        <v>811</v>
      </c>
      <c r="G399" t="s">
        <v>812</v>
      </c>
      <c r="H399" t="s">
        <v>813</v>
      </c>
      <c r="I399" t="s">
        <v>203</v>
      </c>
      <c r="J399" t="s">
        <v>816</v>
      </c>
      <c r="K399" t="s">
        <v>814</v>
      </c>
      <c r="M399" t="s">
        <v>577</v>
      </c>
      <c r="N399" t="s">
        <v>565</v>
      </c>
      <c r="O399" t="str">
        <f t="shared" si="25"/>
        <v>S</v>
      </c>
      <c r="P399" t="str">
        <f t="shared" si="26"/>
        <v/>
      </c>
      <c r="Q399">
        <v>1</v>
      </c>
    </row>
    <row r="400" spans="1:17" ht="30" x14ac:dyDescent="0.25">
      <c r="A400">
        <v>399</v>
      </c>
      <c r="B400" t="s">
        <v>0</v>
      </c>
      <c r="C400" s="4">
        <v>45979</v>
      </c>
      <c r="D400" s="2">
        <v>45986</v>
      </c>
      <c r="E400" s="2">
        <v>45986</v>
      </c>
      <c r="F400" s="5" t="s">
        <v>817</v>
      </c>
      <c r="G400" t="s">
        <v>818</v>
      </c>
      <c r="H400" t="s">
        <v>819</v>
      </c>
      <c r="I400" s="5" t="s">
        <v>820</v>
      </c>
      <c r="J400" t="s">
        <v>821</v>
      </c>
      <c r="K400" t="s">
        <v>822</v>
      </c>
      <c r="M400" t="s">
        <v>577</v>
      </c>
      <c r="N400" t="s">
        <v>565</v>
      </c>
      <c r="O400" t="str">
        <f t="shared" si="25"/>
        <v>S</v>
      </c>
      <c r="P400" t="str">
        <f t="shared" si="26"/>
        <v/>
      </c>
      <c r="Q400">
        <v>1</v>
      </c>
    </row>
    <row r="401" spans="1:17" ht="16.5" x14ac:dyDescent="0.25">
      <c r="A401">
        <v>400</v>
      </c>
      <c r="B401" t="s">
        <v>0</v>
      </c>
      <c r="C401" s="4">
        <v>45986</v>
      </c>
      <c r="D401" s="2">
        <v>45986</v>
      </c>
      <c r="E401" s="2">
        <v>45986</v>
      </c>
      <c r="F401" s="5" t="s">
        <v>817</v>
      </c>
      <c r="G401" t="s">
        <v>818</v>
      </c>
      <c r="H401" t="s">
        <v>819</v>
      </c>
      <c r="I401" t="s">
        <v>203</v>
      </c>
      <c r="J401" t="s">
        <v>821</v>
      </c>
      <c r="K401" t="s">
        <v>822</v>
      </c>
      <c r="M401" t="s">
        <v>577</v>
      </c>
      <c r="N401" t="s">
        <v>565</v>
      </c>
      <c r="O401" t="str">
        <f t="shared" si="25"/>
        <v>S</v>
      </c>
      <c r="P401" t="str">
        <f t="shared" si="26"/>
        <v/>
      </c>
      <c r="Q401">
        <v>1</v>
      </c>
    </row>
    <row r="402" spans="1:17" ht="16.5" x14ac:dyDescent="0.25">
      <c r="A402">
        <v>401</v>
      </c>
      <c r="B402" t="s">
        <v>849</v>
      </c>
      <c r="C402" s="4">
        <v>45693</v>
      </c>
      <c r="D402" s="2">
        <v>45986</v>
      </c>
      <c r="E402" s="2">
        <v>45987</v>
      </c>
      <c r="F402" t="s">
        <v>13</v>
      </c>
      <c r="G402" t="s">
        <v>90</v>
      </c>
      <c r="H402" t="s">
        <v>583</v>
      </c>
      <c r="I402" t="s">
        <v>206</v>
      </c>
      <c r="J402" t="s">
        <v>681</v>
      </c>
      <c r="K402" t="s">
        <v>488</v>
      </c>
      <c r="M402" t="s">
        <v>810</v>
      </c>
      <c r="N402" t="s">
        <v>564</v>
      </c>
      <c r="O402" t="str">
        <f t="shared" si="25"/>
        <v>S</v>
      </c>
      <c r="P402" t="str">
        <f t="shared" si="26"/>
        <v>19/11/2025</v>
      </c>
      <c r="Q402">
        <v>1</v>
      </c>
    </row>
    <row r="403" spans="1:17" ht="16.5" x14ac:dyDescent="0.25">
      <c r="A403">
        <v>402</v>
      </c>
      <c r="B403" t="s">
        <v>849</v>
      </c>
      <c r="C403" s="4">
        <v>45693</v>
      </c>
      <c r="D403" s="2">
        <v>45986</v>
      </c>
      <c r="E403" s="2">
        <v>45987</v>
      </c>
      <c r="F403" t="s">
        <v>13</v>
      </c>
      <c r="G403" t="s">
        <v>90</v>
      </c>
      <c r="H403" t="s">
        <v>583</v>
      </c>
      <c r="I403" t="s">
        <v>208</v>
      </c>
      <c r="J403" t="s">
        <v>681</v>
      </c>
      <c r="K403" t="s">
        <v>488</v>
      </c>
      <c r="M403" t="s">
        <v>810</v>
      </c>
      <c r="N403" t="s">
        <v>564</v>
      </c>
      <c r="O403" t="str">
        <f t="shared" si="25"/>
        <v>S</v>
      </c>
      <c r="P403" t="str">
        <f t="shared" si="26"/>
        <v>19/11/2025</v>
      </c>
      <c r="Q403">
        <v>1</v>
      </c>
    </row>
    <row r="404" spans="1:17" ht="30" x14ac:dyDescent="0.25">
      <c r="A404">
        <v>403</v>
      </c>
      <c r="B404" t="s">
        <v>849</v>
      </c>
      <c r="C404" s="4">
        <v>45975</v>
      </c>
      <c r="D404" s="2">
        <v>45986</v>
      </c>
      <c r="E404" s="2">
        <v>45987</v>
      </c>
      <c r="F404" s="5" t="s">
        <v>823</v>
      </c>
      <c r="G404" t="s">
        <v>824</v>
      </c>
      <c r="H404" t="s">
        <v>825</v>
      </c>
      <c r="I404" s="5" t="s">
        <v>826</v>
      </c>
      <c r="J404" t="s">
        <v>828</v>
      </c>
      <c r="K404" t="s">
        <v>829</v>
      </c>
      <c r="M404" t="s">
        <v>810</v>
      </c>
      <c r="N404" t="s">
        <v>564</v>
      </c>
      <c r="O404" t="str">
        <f t="shared" si="25"/>
        <v>S</v>
      </c>
      <c r="P404" t="str">
        <f t="shared" si="26"/>
        <v>19/11/2025</v>
      </c>
      <c r="Q404">
        <v>1</v>
      </c>
    </row>
    <row r="405" spans="1:17" ht="16.5" x14ac:dyDescent="0.25">
      <c r="A405">
        <v>404</v>
      </c>
      <c r="B405" t="s">
        <v>849</v>
      </c>
      <c r="C405" s="4">
        <v>45975</v>
      </c>
      <c r="D405" s="2">
        <v>45986</v>
      </c>
      <c r="E405" s="2">
        <v>45987</v>
      </c>
      <c r="F405" s="5" t="s">
        <v>823</v>
      </c>
      <c r="G405" t="s">
        <v>824</v>
      </c>
      <c r="H405" t="s">
        <v>825</v>
      </c>
      <c r="I405" t="s">
        <v>827</v>
      </c>
      <c r="J405" t="s">
        <v>828</v>
      </c>
      <c r="K405" t="s">
        <v>829</v>
      </c>
      <c r="M405" t="s">
        <v>810</v>
      </c>
      <c r="N405" t="s">
        <v>564</v>
      </c>
      <c r="O405" t="str">
        <f t="shared" si="25"/>
        <v>S</v>
      </c>
      <c r="P405" t="str">
        <f t="shared" si="26"/>
        <v>19/11/2025</v>
      </c>
      <c r="Q405">
        <v>1</v>
      </c>
    </row>
    <row r="406" spans="1:17" ht="30" x14ac:dyDescent="0.25">
      <c r="A406">
        <v>405</v>
      </c>
      <c r="B406" t="s">
        <v>0</v>
      </c>
      <c r="C406" s="4">
        <v>45974</v>
      </c>
      <c r="D406" s="2">
        <v>45987</v>
      </c>
      <c r="E406" s="2">
        <v>45987</v>
      </c>
      <c r="F406" s="5" t="s">
        <v>830</v>
      </c>
      <c r="G406" t="s">
        <v>831</v>
      </c>
      <c r="H406" t="s">
        <v>832</v>
      </c>
      <c r="I406" t="s">
        <v>833</v>
      </c>
      <c r="K406" t="s">
        <v>834</v>
      </c>
      <c r="M406" t="s">
        <v>577</v>
      </c>
      <c r="N406" t="s">
        <v>565</v>
      </c>
      <c r="O406" t="str">
        <f t="shared" si="25"/>
        <v>S</v>
      </c>
      <c r="P406" t="str">
        <f t="shared" si="26"/>
        <v/>
      </c>
      <c r="Q406">
        <v>1</v>
      </c>
    </row>
    <row r="407" spans="1:17" ht="30" x14ac:dyDescent="0.25">
      <c r="A407">
        <v>406</v>
      </c>
      <c r="B407" t="s">
        <v>0</v>
      </c>
      <c r="C407" s="4">
        <v>45974</v>
      </c>
      <c r="D407" s="2">
        <v>45987</v>
      </c>
      <c r="E407" s="2">
        <v>45987</v>
      </c>
      <c r="F407" s="5" t="s">
        <v>830</v>
      </c>
      <c r="G407" t="s">
        <v>831</v>
      </c>
      <c r="H407" t="s">
        <v>832</v>
      </c>
      <c r="I407" t="s">
        <v>833</v>
      </c>
      <c r="K407" t="s">
        <v>834</v>
      </c>
      <c r="M407" t="s">
        <v>577</v>
      </c>
      <c r="N407" t="s">
        <v>565</v>
      </c>
      <c r="O407" t="str">
        <f t="shared" si="25"/>
        <v>S</v>
      </c>
      <c r="P407" t="str">
        <f t="shared" si="26"/>
        <v/>
      </c>
      <c r="Q407">
        <v>1</v>
      </c>
    </row>
    <row r="408" spans="1:17" ht="16.5" x14ac:dyDescent="0.25">
      <c r="A408">
        <v>407</v>
      </c>
      <c r="B408" t="s">
        <v>849</v>
      </c>
      <c r="C408" s="4">
        <v>45923</v>
      </c>
      <c r="D408" s="2">
        <v>45988</v>
      </c>
      <c r="E408" s="2">
        <v>45989</v>
      </c>
      <c r="F408" t="s">
        <v>58</v>
      </c>
      <c r="G408" t="s">
        <v>174</v>
      </c>
      <c r="H408" t="s">
        <v>676</v>
      </c>
      <c r="I408" t="s">
        <v>300</v>
      </c>
      <c r="J408" t="s">
        <v>769</v>
      </c>
      <c r="K408" t="s">
        <v>489</v>
      </c>
      <c r="M408" t="s">
        <v>810</v>
      </c>
      <c r="N408" t="s">
        <v>569</v>
      </c>
      <c r="O408" t="str">
        <f t="shared" ref="O408:O421" si="27">IF(OR(ISNUMBER(FIND("ENTREGUES",M408)),N408="Preto",N408="Cinza"),"S","N")</f>
        <v>S</v>
      </c>
      <c r="P408" t="str">
        <f t="shared" ref="P408:P421" si="28">IF(N408="Preto", "", MID(M408, FIND("em ", M408) + 3, 10))</f>
        <v>19/11/2025</v>
      </c>
      <c r="Q408">
        <v>1</v>
      </c>
    </row>
    <row r="409" spans="1:17" ht="16.5" x14ac:dyDescent="0.25">
      <c r="A409">
        <v>408</v>
      </c>
      <c r="B409" t="s">
        <v>849</v>
      </c>
      <c r="C409" s="4">
        <v>45923</v>
      </c>
      <c r="D409" s="2">
        <v>45988</v>
      </c>
      <c r="E409" s="2">
        <v>45989</v>
      </c>
      <c r="F409" t="s">
        <v>58</v>
      </c>
      <c r="G409" t="s">
        <v>174</v>
      </c>
      <c r="H409" t="s">
        <v>676</v>
      </c>
      <c r="I409" t="s">
        <v>208</v>
      </c>
      <c r="J409" t="s">
        <v>769</v>
      </c>
      <c r="K409" t="s">
        <v>489</v>
      </c>
      <c r="M409" t="s">
        <v>810</v>
      </c>
      <c r="N409" t="s">
        <v>569</v>
      </c>
      <c r="O409" t="str">
        <f t="shared" si="27"/>
        <v>S</v>
      </c>
      <c r="P409" t="str">
        <f t="shared" si="28"/>
        <v>19/11/2025</v>
      </c>
      <c r="Q409">
        <v>1</v>
      </c>
    </row>
    <row r="410" spans="1:17" ht="16.5" x14ac:dyDescent="0.25">
      <c r="A410">
        <v>409</v>
      </c>
      <c r="B410" t="s">
        <v>849</v>
      </c>
      <c r="C410" s="4">
        <v>45958</v>
      </c>
      <c r="D410" s="2">
        <v>45988</v>
      </c>
      <c r="E410" s="2">
        <v>45989</v>
      </c>
      <c r="F410" t="s">
        <v>785</v>
      </c>
      <c r="G410" t="s">
        <v>784</v>
      </c>
      <c r="H410" t="s">
        <v>787</v>
      </c>
      <c r="I410" t="s">
        <v>786</v>
      </c>
      <c r="J410" t="s">
        <v>788</v>
      </c>
      <c r="K410" t="s">
        <v>792</v>
      </c>
      <c r="M410" t="s">
        <v>810</v>
      </c>
      <c r="N410" t="s">
        <v>569</v>
      </c>
      <c r="O410" t="str">
        <f t="shared" si="27"/>
        <v>S</v>
      </c>
      <c r="P410" t="str">
        <f t="shared" si="28"/>
        <v>19/11/2025</v>
      </c>
      <c r="Q410">
        <v>1</v>
      </c>
    </row>
    <row r="411" spans="1:17" ht="16.5" x14ac:dyDescent="0.25">
      <c r="A411">
        <v>410</v>
      </c>
      <c r="B411" t="s">
        <v>849</v>
      </c>
      <c r="C411" s="4">
        <v>45958</v>
      </c>
      <c r="D411" s="2">
        <v>45988</v>
      </c>
      <c r="E411" s="2">
        <v>45989</v>
      </c>
      <c r="F411" t="s">
        <v>785</v>
      </c>
      <c r="G411" t="s">
        <v>784</v>
      </c>
      <c r="H411" t="s">
        <v>787</v>
      </c>
      <c r="I411" t="s">
        <v>208</v>
      </c>
      <c r="J411" t="s">
        <v>788</v>
      </c>
      <c r="K411" t="s">
        <v>792</v>
      </c>
      <c r="M411" t="s">
        <v>810</v>
      </c>
      <c r="N411" t="s">
        <v>569</v>
      </c>
      <c r="O411" t="str">
        <f t="shared" si="27"/>
        <v>S</v>
      </c>
      <c r="P411" t="str">
        <f t="shared" si="28"/>
        <v>19/11/2025</v>
      </c>
      <c r="Q411">
        <v>1</v>
      </c>
    </row>
    <row r="412" spans="1:17" ht="16.5" x14ac:dyDescent="0.25">
      <c r="A412">
        <v>411</v>
      </c>
      <c r="B412" t="s">
        <v>849</v>
      </c>
      <c r="C412" s="4">
        <v>45728</v>
      </c>
      <c r="D412" s="2">
        <v>45991</v>
      </c>
      <c r="E412" s="2">
        <v>45992</v>
      </c>
      <c r="F412" t="s">
        <v>22</v>
      </c>
      <c r="G412" t="s">
        <v>105</v>
      </c>
      <c r="H412" t="s">
        <v>596</v>
      </c>
      <c r="I412" t="s">
        <v>221</v>
      </c>
      <c r="J412" t="s">
        <v>694</v>
      </c>
      <c r="K412" t="s">
        <v>490</v>
      </c>
      <c r="M412" t="s">
        <v>810</v>
      </c>
      <c r="N412" t="s">
        <v>570</v>
      </c>
      <c r="O412" t="str">
        <f t="shared" si="27"/>
        <v>S</v>
      </c>
      <c r="P412" t="str">
        <f t="shared" si="28"/>
        <v>19/11/2025</v>
      </c>
      <c r="Q412">
        <v>1</v>
      </c>
    </row>
    <row r="413" spans="1:17" ht="16.5" x14ac:dyDescent="0.25">
      <c r="A413">
        <v>412</v>
      </c>
      <c r="B413" t="s">
        <v>849</v>
      </c>
      <c r="C413" s="4">
        <v>45728</v>
      </c>
      <c r="D413" s="2">
        <v>45991</v>
      </c>
      <c r="E413" s="2">
        <v>45992</v>
      </c>
      <c r="F413" t="s">
        <v>22</v>
      </c>
      <c r="G413" t="s">
        <v>105</v>
      </c>
      <c r="H413" t="s">
        <v>596</v>
      </c>
      <c r="I413" t="s">
        <v>208</v>
      </c>
      <c r="J413" t="s">
        <v>694</v>
      </c>
      <c r="K413" t="s">
        <v>490</v>
      </c>
      <c r="M413" t="s">
        <v>810</v>
      </c>
      <c r="N413" t="s">
        <v>570</v>
      </c>
      <c r="O413" t="str">
        <f t="shared" si="27"/>
        <v>S</v>
      </c>
      <c r="P413" t="str">
        <f t="shared" si="28"/>
        <v>19/11/2025</v>
      </c>
      <c r="Q413">
        <v>1</v>
      </c>
    </row>
    <row r="414" spans="1:17" ht="16.5" x14ac:dyDescent="0.25">
      <c r="A414">
        <v>413</v>
      </c>
      <c r="B414" t="s">
        <v>849</v>
      </c>
      <c r="C414" s="4">
        <v>45693</v>
      </c>
      <c r="D414" s="2">
        <v>45993</v>
      </c>
      <c r="E414" s="2">
        <v>45993</v>
      </c>
      <c r="F414" t="s">
        <v>13</v>
      </c>
      <c r="G414" t="s">
        <v>90</v>
      </c>
      <c r="H414" t="s">
        <v>583</v>
      </c>
      <c r="I414" t="s">
        <v>206</v>
      </c>
      <c r="J414" t="s">
        <v>681</v>
      </c>
      <c r="K414" t="s">
        <v>491</v>
      </c>
      <c r="M414" t="s">
        <v>810</v>
      </c>
      <c r="N414" t="s">
        <v>567</v>
      </c>
      <c r="O414" t="str">
        <f t="shared" si="27"/>
        <v>S</v>
      </c>
      <c r="P414" t="str">
        <f t="shared" si="28"/>
        <v>19/11/2025</v>
      </c>
      <c r="Q414">
        <v>1</v>
      </c>
    </row>
    <row r="415" spans="1:17" ht="16.5" x14ac:dyDescent="0.25">
      <c r="A415">
        <v>414</v>
      </c>
      <c r="B415" t="s">
        <v>849</v>
      </c>
      <c r="C415" s="4">
        <v>45693</v>
      </c>
      <c r="D415" s="2">
        <v>45993</v>
      </c>
      <c r="E415" s="2">
        <v>45993</v>
      </c>
      <c r="F415" t="s">
        <v>13</v>
      </c>
      <c r="G415" t="s">
        <v>90</v>
      </c>
      <c r="H415" t="s">
        <v>583</v>
      </c>
      <c r="I415" t="s">
        <v>208</v>
      </c>
      <c r="J415" t="s">
        <v>681</v>
      </c>
      <c r="K415" t="s">
        <v>491</v>
      </c>
      <c r="M415" t="s">
        <v>810</v>
      </c>
      <c r="N415" t="s">
        <v>567</v>
      </c>
      <c r="O415" t="str">
        <f t="shared" si="27"/>
        <v>S</v>
      </c>
      <c r="P415" t="str">
        <f t="shared" si="28"/>
        <v>19/11/2025</v>
      </c>
      <c r="Q415">
        <v>1</v>
      </c>
    </row>
    <row r="416" spans="1:17" ht="16.5" x14ac:dyDescent="0.25">
      <c r="A416">
        <v>415</v>
      </c>
      <c r="B416" t="s">
        <v>0</v>
      </c>
      <c r="C416" s="4">
        <v>45993</v>
      </c>
      <c r="D416" s="2">
        <v>45994</v>
      </c>
      <c r="E416" s="2">
        <v>45994</v>
      </c>
      <c r="F416" t="s">
        <v>835</v>
      </c>
      <c r="G416" t="s">
        <v>836</v>
      </c>
      <c r="H416" t="s">
        <v>837</v>
      </c>
      <c r="I416" t="s">
        <v>838</v>
      </c>
      <c r="J416" t="s">
        <v>839</v>
      </c>
      <c r="K416" t="s">
        <v>840</v>
      </c>
      <c r="M416" t="s">
        <v>577</v>
      </c>
      <c r="N416" t="s">
        <v>565</v>
      </c>
      <c r="O416" t="str">
        <f t="shared" si="27"/>
        <v>S</v>
      </c>
      <c r="P416" t="str">
        <f t="shared" si="28"/>
        <v/>
      </c>
      <c r="Q416">
        <v>1</v>
      </c>
    </row>
    <row r="417" spans="1:17" ht="16.5" x14ac:dyDescent="0.25">
      <c r="A417">
        <v>416</v>
      </c>
      <c r="B417" t="s">
        <v>0</v>
      </c>
      <c r="C417" s="4">
        <v>45993</v>
      </c>
      <c r="D417" s="2">
        <v>45994</v>
      </c>
      <c r="E417" s="2">
        <v>45994</v>
      </c>
      <c r="F417" t="s">
        <v>835</v>
      </c>
      <c r="G417" t="s">
        <v>836</v>
      </c>
      <c r="H417" t="s">
        <v>837</v>
      </c>
      <c r="I417" t="s">
        <v>203</v>
      </c>
      <c r="J417" t="s">
        <v>839</v>
      </c>
      <c r="K417" t="s">
        <v>840</v>
      </c>
      <c r="M417" t="s">
        <v>577</v>
      </c>
      <c r="N417" t="s">
        <v>565</v>
      </c>
      <c r="O417" t="str">
        <f t="shared" si="27"/>
        <v>S</v>
      </c>
      <c r="P417" t="str">
        <f t="shared" si="28"/>
        <v/>
      </c>
      <c r="Q417">
        <v>1</v>
      </c>
    </row>
    <row r="418" spans="1:17" ht="16.5" x14ac:dyDescent="0.25">
      <c r="A418">
        <v>417</v>
      </c>
      <c r="B418" t="s">
        <v>849</v>
      </c>
      <c r="C418" s="4">
        <v>45652</v>
      </c>
      <c r="D418" s="2">
        <v>45994</v>
      </c>
      <c r="E418" s="2">
        <v>45996</v>
      </c>
      <c r="F418" t="s">
        <v>6</v>
      </c>
      <c r="G418" t="s">
        <v>88</v>
      </c>
      <c r="H418" t="s">
        <v>581</v>
      </c>
      <c r="I418" t="s">
        <v>204</v>
      </c>
      <c r="J418" t="s">
        <v>679</v>
      </c>
      <c r="K418" t="s">
        <v>492</v>
      </c>
      <c r="M418" t="s">
        <v>810</v>
      </c>
      <c r="N418" t="s">
        <v>564</v>
      </c>
      <c r="O418" t="str">
        <f t="shared" si="27"/>
        <v>S</v>
      </c>
      <c r="P418" t="str">
        <f t="shared" si="28"/>
        <v>19/11/2025</v>
      </c>
      <c r="Q418">
        <v>1</v>
      </c>
    </row>
    <row r="419" spans="1:17" ht="16.5" x14ac:dyDescent="0.25">
      <c r="A419">
        <v>418</v>
      </c>
      <c r="B419" t="s">
        <v>849</v>
      </c>
      <c r="C419" s="4">
        <v>45652</v>
      </c>
      <c r="D419" s="2">
        <v>45994</v>
      </c>
      <c r="E419" s="2">
        <v>45996</v>
      </c>
      <c r="F419" t="s">
        <v>6</v>
      </c>
      <c r="G419" t="s">
        <v>88</v>
      </c>
      <c r="H419" t="s">
        <v>581</v>
      </c>
      <c r="I419" t="s">
        <v>208</v>
      </c>
      <c r="J419" t="s">
        <v>679</v>
      </c>
      <c r="K419" t="s">
        <v>492</v>
      </c>
      <c r="M419" t="s">
        <v>810</v>
      </c>
      <c r="N419" t="s">
        <v>564</v>
      </c>
      <c r="O419" t="str">
        <f t="shared" si="27"/>
        <v>S</v>
      </c>
      <c r="P419" t="str">
        <f t="shared" si="28"/>
        <v>19/11/2025</v>
      </c>
      <c r="Q419">
        <v>1</v>
      </c>
    </row>
    <row r="420" spans="1:17" ht="16.5" x14ac:dyDescent="0.25">
      <c r="A420">
        <v>419</v>
      </c>
      <c r="B420" t="s">
        <v>849</v>
      </c>
      <c r="C420" s="4">
        <v>45923</v>
      </c>
      <c r="D420" s="2">
        <v>45997</v>
      </c>
      <c r="E420" s="2">
        <v>45998</v>
      </c>
      <c r="F420" t="s">
        <v>58</v>
      </c>
      <c r="G420" t="s">
        <v>174</v>
      </c>
      <c r="H420" t="s">
        <v>581</v>
      </c>
      <c r="I420" t="s">
        <v>300</v>
      </c>
      <c r="J420" t="s">
        <v>769</v>
      </c>
      <c r="K420" t="s">
        <v>493</v>
      </c>
      <c r="M420" t="s">
        <v>810</v>
      </c>
      <c r="N420" t="s">
        <v>566</v>
      </c>
      <c r="O420" t="str">
        <f t="shared" si="27"/>
        <v>S</v>
      </c>
      <c r="P420" t="str">
        <f t="shared" si="28"/>
        <v>19/11/2025</v>
      </c>
      <c r="Q420">
        <v>1</v>
      </c>
    </row>
    <row r="421" spans="1:17" ht="16.5" x14ac:dyDescent="0.25">
      <c r="A421">
        <v>420</v>
      </c>
      <c r="B421" t="s">
        <v>849</v>
      </c>
      <c r="C421" s="4">
        <v>45923</v>
      </c>
      <c r="D421" s="2">
        <v>45997</v>
      </c>
      <c r="E421" s="2">
        <v>45998</v>
      </c>
      <c r="F421" t="s">
        <v>58</v>
      </c>
      <c r="G421" t="s">
        <v>174</v>
      </c>
      <c r="H421" t="s">
        <v>581</v>
      </c>
      <c r="I421" t="s">
        <v>208</v>
      </c>
      <c r="J421" t="s">
        <v>769</v>
      </c>
      <c r="K421" t="s">
        <v>493</v>
      </c>
      <c r="M421" t="s">
        <v>810</v>
      </c>
      <c r="N421" t="s">
        <v>566</v>
      </c>
      <c r="O421" t="str">
        <f t="shared" si="27"/>
        <v>S</v>
      </c>
      <c r="P421" t="str">
        <f t="shared" si="28"/>
        <v>19/11/2025</v>
      </c>
      <c r="Q421">
        <v>1</v>
      </c>
    </row>
    <row r="422" spans="1:17" ht="16.5" x14ac:dyDescent="0.25">
      <c r="A422">
        <v>421</v>
      </c>
      <c r="B422" t="s">
        <v>849</v>
      </c>
      <c r="C422" s="4">
        <v>45923</v>
      </c>
      <c r="D422" s="2">
        <v>45999</v>
      </c>
      <c r="E422" s="2">
        <v>46000</v>
      </c>
      <c r="F422" t="s">
        <v>58</v>
      </c>
      <c r="G422" t="s">
        <v>174</v>
      </c>
      <c r="H422" t="s">
        <v>581</v>
      </c>
      <c r="I422" t="s">
        <v>300</v>
      </c>
      <c r="J422" t="s">
        <v>769</v>
      </c>
      <c r="K422" t="s">
        <v>494</v>
      </c>
      <c r="M422" t="s">
        <v>558</v>
      </c>
      <c r="N422" t="s">
        <v>576</v>
      </c>
      <c r="O422" t="s">
        <v>808</v>
      </c>
      <c r="Q422">
        <v>1</v>
      </c>
    </row>
    <row r="423" spans="1:17" ht="16.5" x14ac:dyDescent="0.25">
      <c r="A423">
        <v>422</v>
      </c>
      <c r="B423" t="s">
        <v>849</v>
      </c>
      <c r="C423" s="4">
        <v>45923</v>
      </c>
      <c r="D423" s="2">
        <v>45999</v>
      </c>
      <c r="E423" s="2">
        <v>46000</v>
      </c>
      <c r="F423" t="s">
        <v>58</v>
      </c>
      <c r="G423" t="s">
        <v>174</v>
      </c>
      <c r="H423" t="s">
        <v>581</v>
      </c>
      <c r="I423" t="s">
        <v>208</v>
      </c>
      <c r="J423" t="s">
        <v>769</v>
      </c>
      <c r="K423" t="s">
        <v>494</v>
      </c>
      <c r="M423" t="s">
        <v>558</v>
      </c>
      <c r="N423" t="s">
        <v>576</v>
      </c>
      <c r="O423" t="s">
        <v>808</v>
      </c>
      <c r="Q423">
        <v>1</v>
      </c>
    </row>
    <row r="424" spans="1:17" ht="16.5" x14ac:dyDescent="0.25">
      <c r="A424">
        <v>423</v>
      </c>
      <c r="B424" t="s">
        <v>849</v>
      </c>
      <c r="C424" s="4">
        <v>45958</v>
      </c>
      <c r="D424" s="2">
        <v>45999</v>
      </c>
      <c r="E424" s="2">
        <v>46000</v>
      </c>
      <c r="F424" t="s">
        <v>785</v>
      </c>
      <c r="G424" t="s">
        <v>784</v>
      </c>
      <c r="H424" t="s">
        <v>787</v>
      </c>
      <c r="I424" t="s">
        <v>786</v>
      </c>
      <c r="J424" t="s">
        <v>788</v>
      </c>
      <c r="K424" t="s">
        <v>494</v>
      </c>
      <c r="M424" t="s">
        <v>558</v>
      </c>
      <c r="N424" t="s">
        <v>576</v>
      </c>
      <c r="O424" t="s">
        <v>808</v>
      </c>
      <c r="Q424">
        <v>1</v>
      </c>
    </row>
    <row r="425" spans="1:17" ht="16.5" x14ac:dyDescent="0.25">
      <c r="A425">
        <v>424</v>
      </c>
      <c r="B425" t="s">
        <v>849</v>
      </c>
      <c r="C425" s="4">
        <v>45958</v>
      </c>
      <c r="D425" s="2">
        <v>45999</v>
      </c>
      <c r="E425" s="2">
        <v>46000</v>
      </c>
      <c r="F425" t="s">
        <v>785</v>
      </c>
      <c r="G425" t="s">
        <v>784</v>
      </c>
      <c r="H425" t="s">
        <v>787</v>
      </c>
      <c r="I425" t="s">
        <v>208</v>
      </c>
      <c r="J425" t="s">
        <v>788</v>
      </c>
      <c r="K425" t="s">
        <v>494</v>
      </c>
      <c r="M425" t="s">
        <v>558</v>
      </c>
      <c r="N425" t="s">
        <v>576</v>
      </c>
      <c r="O425" t="s">
        <v>808</v>
      </c>
      <c r="Q425">
        <v>1</v>
      </c>
    </row>
    <row r="426" spans="1:17" ht="16.5" x14ac:dyDescent="0.25">
      <c r="A426">
        <v>425</v>
      </c>
      <c r="B426" t="s">
        <v>849</v>
      </c>
      <c r="C426" s="4">
        <v>45652</v>
      </c>
      <c r="D426" s="2">
        <v>46001</v>
      </c>
      <c r="E426" s="2">
        <v>46001</v>
      </c>
      <c r="F426" t="s">
        <v>6</v>
      </c>
      <c r="G426" t="s">
        <v>88</v>
      </c>
      <c r="H426" t="s">
        <v>581</v>
      </c>
      <c r="I426" t="s">
        <v>204</v>
      </c>
      <c r="J426" t="s">
        <v>679</v>
      </c>
      <c r="K426" t="s">
        <v>496</v>
      </c>
      <c r="M426" t="s">
        <v>563</v>
      </c>
      <c r="N426" t="s">
        <v>572</v>
      </c>
      <c r="O426" t="str">
        <f t="shared" ref="O426:O433" si="29">IF(OR(ISNUMBER(FIND("ENTREGUES",M426)),N426="Preto",N426="Cinza"),"S","N")</f>
        <v>N</v>
      </c>
      <c r="Q426">
        <v>1</v>
      </c>
    </row>
    <row r="427" spans="1:17" ht="16.5" x14ac:dyDescent="0.25">
      <c r="A427">
        <v>426</v>
      </c>
      <c r="B427" t="s">
        <v>849</v>
      </c>
      <c r="C427" s="4">
        <v>45652</v>
      </c>
      <c r="D427" s="2">
        <v>46001</v>
      </c>
      <c r="E427" s="2">
        <v>46001</v>
      </c>
      <c r="F427" t="s">
        <v>6</v>
      </c>
      <c r="G427" t="s">
        <v>88</v>
      </c>
      <c r="H427" t="s">
        <v>581</v>
      </c>
      <c r="I427" t="s">
        <v>208</v>
      </c>
      <c r="J427" t="s">
        <v>679</v>
      </c>
      <c r="K427" t="s">
        <v>496</v>
      </c>
      <c r="M427" t="s">
        <v>563</v>
      </c>
      <c r="N427" t="s">
        <v>572</v>
      </c>
      <c r="O427" t="str">
        <f t="shared" si="29"/>
        <v>N</v>
      </c>
      <c r="Q427">
        <v>1</v>
      </c>
    </row>
    <row r="428" spans="1:17" ht="16.5" x14ac:dyDescent="0.25">
      <c r="A428">
        <v>427</v>
      </c>
      <c r="B428" t="s">
        <v>849</v>
      </c>
      <c r="C428" s="4">
        <v>45923</v>
      </c>
      <c r="D428" s="2">
        <v>46002</v>
      </c>
      <c r="E428" s="2">
        <v>46003</v>
      </c>
      <c r="F428" t="s">
        <v>58</v>
      </c>
      <c r="G428" t="s">
        <v>174</v>
      </c>
      <c r="H428" t="s">
        <v>581</v>
      </c>
      <c r="I428" t="s">
        <v>300</v>
      </c>
      <c r="J428" t="s">
        <v>769</v>
      </c>
      <c r="K428" t="s">
        <v>497</v>
      </c>
      <c r="M428" t="s">
        <v>563</v>
      </c>
      <c r="N428" t="s">
        <v>566</v>
      </c>
      <c r="O428" t="str">
        <f t="shared" si="29"/>
        <v>N</v>
      </c>
      <c r="Q428">
        <v>1</v>
      </c>
    </row>
    <row r="429" spans="1:17" ht="16.5" x14ac:dyDescent="0.25">
      <c r="A429">
        <v>428</v>
      </c>
      <c r="B429" t="s">
        <v>849</v>
      </c>
      <c r="C429" s="4">
        <v>45923</v>
      </c>
      <c r="D429" s="2">
        <v>46002</v>
      </c>
      <c r="E429" s="2">
        <v>46003</v>
      </c>
      <c r="F429" t="s">
        <v>58</v>
      </c>
      <c r="G429" t="s">
        <v>174</v>
      </c>
      <c r="H429" t="s">
        <v>581</v>
      </c>
      <c r="I429" t="s">
        <v>208</v>
      </c>
      <c r="J429" t="s">
        <v>769</v>
      </c>
      <c r="K429" t="s">
        <v>497</v>
      </c>
      <c r="M429" t="s">
        <v>563</v>
      </c>
      <c r="N429" t="s">
        <v>566</v>
      </c>
      <c r="O429" t="str">
        <f t="shared" si="29"/>
        <v>N</v>
      </c>
      <c r="Q429">
        <v>1</v>
      </c>
    </row>
    <row r="430" spans="1:17" x14ac:dyDescent="0.25">
      <c r="A430">
        <v>429</v>
      </c>
      <c r="B430" t="s">
        <v>849</v>
      </c>
      <c r="C430" s="4">
        <v>45946</v>
      </c>
      <c r="D430" s="4">
        <v>46004</v>
      </c>
      <c r="E430" s="4">
        <v>46005</v>
      </c>
      <c r="F430" t="s">
        <v>841</v>
      </c>
      <c r="G430" t="s">
        <v>842</v>
      </c>
      <c r="H430" t="s">
        <v>843</v>
      </c>
      <c r="I430" t="s">
        <v>844</v>
      </c>
      <c r="J430" t="s">
        <v>845</v>
      </c>
      <c r="K430" t="s">
        <v>846</v>
      </c>
      <c r="M430" t="s">
        <v>563</v>
      </c>
      <c r="N430" t="s">
        <v>572</v>
      </c>
      <c r="O430" t="str">
        <f t="shared" si="29"/>
        <v>N</v>
      </c>
      <c r="Q430">
        <v>1</v>
      </c>
    </row>
    <row r="431" spans="1:17" x14ac:dyDescent="0.25">
      <c r="A431">
        <v>430</v>
      </c>
      <c r="B431" t="s">
        <v>849</v>
      </c>
      <c r="C431" s="4">
        <v>45946</v>
      </c>
      <c r="D431" s="4">
        <v>46004</v>
      </c>
      <c r="E431" s="4">
        <v>46005</v>
      </c>
      <c r="F431" t="s">
        <v>841</v>
      </c>
      <c r="G431" t="s">
        <v>842</v>
      </c>
      <c r="H431" t="s">
        <v>843</v>
      </c>
      <c r="I431" t="s">
        <v>208</v>
      </c>
      <c r="J431" t="s">
        <v>845</v>
      </c>
      <c r="K431" t="s">
        <v>846</v>
      </c>
      <c r="M431" t="s">
        <v>563</v>
      </c>
      <c r="N431" t="s">
        <v>572</v>
      </c>
      <c r="O431" t="str">
        <f t="shared" si="29"/>
        <v>N</v>
      </c>
      <c r="Q431">
        <v>1</v>
      </c>
    </row>
    <row r="432" spans="1:17" x14ac:dyDescent="0.25">
      <c r="A432">
        <v>431</v>
      </c>
      <c r="B432" t="s">
        <v>0</v>
      </c>
      <c r="C432" s="4">
        <v>45946</v>
      </c>
      <c r="D432" s="4">
        <v>46007</v>
      </c>
      <c r="E432" s="4">
        <v>46008</v>
      </c>
      <c r="F432" t="s">
        <v>841</v>
      </c>
      <c r="G432" t="s">
        <v>842</v>
      </c>
      <c r="H432" t="s">
        <v>843</v>
      </c>
      <c r="I432" t="s">
        <v>844</v>
      </c>
      <c r="J432" t="s">
        <v>845</v>
      </c>
      <c r="K432" t="s">
        <v>847</v>
      </c>
      <c r="M432" t="s">
        <v>577</v>
      </c>
      <c r="N432" t="s">
        <v>565</v>
      </c>
      <c r="O432" t="str">
        <f t="shared" si="29"/>
        <v>S</v>
      </c>
      <c r="P432" t="str">
        <f>IF(N432="Preto", "", MID(M432, FIND("em ", M432) + 3, 10))</f>
        <v/>
      </c>
      <c r="Q432">
        <v>1</v>
      </c>
    </row>
    <row r="433" spans="1:17" x14ac:dyDescent="0.25">
      <c r="A433">
        <v>432</v>
      </c>
      <c r="B433" t="s">
        <v>0</v>
      </c>
      <c r="C433" s="4">
        <v>45946</v>
      </c>
      <c r="D433" s="4">
        <v>46007</v>
      </c>
      <c r="E433" s="4">
        <v>46008</v>
      </c>
      <c r="F433" t="s">
        <v>841</v>
      </c>
      <c r="G433" t="s">
        <v>842</v>
      </c>
      <c r="H433" t="s">
        <v>843</v>
      </c>
      <c r="I433" t="s">
        <v>208</v>
      </c>
      <c r="J433" t="s">
        <v>845</v>
      </c>
      <c r="K433" t="s">
        <v>847</v>
      </c>
      <c r="M433" t="s">
        <v>577</v>
      </c>
      <c r="N433" t="s">
        <v>565</v>
      </c>
      <c r="O433" t="str">
        <f t="shared" si="29"/>
        <v>S</v>
      </c>
      <c r="P433" t="str">
        <f>IF(N433="Preto", "", MID(M433, FIND("em ", M433) + 3, 10))</f>
        <v/>
      </c>
      <c r="Q433">
        <v>1</v>
      </c>
    </row>
    <row r="434" spans="1:17" ht="15" customHeight="1" x14ac:dyDescent="0.25">
      <c r="B434" t="s">
        <v>849</v>
      </c>
      <c r="C434" s="4">
        <v>45904</v>
      </c>
      <c r="D434" s="4">
        <v>46046</v>
      </c>
      <c r="E434" s="4">
        <v>46047</v>
      </c>
      <c r="F434" s="5" t="s">
        <v>852</v>
      </c>
      <c r="G434" t="s">
        <v>185</v>
      </c>
      <c r="H434" t="s">
        <v>664</v>
      </c>
      <c r="I434" t="s">
        <v>853</v>
      </c>
      <c r="J434" t="s">
        <v>854</v>
      </c>
      <c r="K434" t="s">
        <v>855</v>
      </c>
      <c r="M434" t="s">
        <v>856</v>
      </c>
      <c r="N434" t="s">
        <v>564</v>
      </c>
      <c r="O434" t="str">
        <f>IF(OR(ISNUMBER(FIND("ENTREGUES",M434)),N434="Preto",N434="Cinza"),"S","N")</f>
        <v>N</v>
      </c>
      <c r="Q434">
        <v>1</v>
      </c>
    </row>
    <row r="435" spans="1:17" x14ac:dyDescent="0.25">
      <c r="B435" t="s">
        <v>849</v>
      </c>
      <c r="C435" s="4">
        <v>45904</v>
      </c>
      <c r="D435" s="4">
        <v>46046</v>
      </c>
      <c r="E435" s="4">
        <v>46047</v>
      </c>
      <c r="F435" t="s">
        <v>852</v>
      </c>
      <c r="G435" t="s">
        <v>185</v>
      </c>
      <c r="H435" t="s">
        <v>664</v>
      </c>
      <c r="I435" t="s">
        <v>208</v>
      </c>
      <c r="J435" t="s">
        <v>854</v>
      </c>
      <c r="K435" t="s">
        <v>855</v>
      </c>
      <c r="M435" t="s">
        <v>856</v>
      </c>
      <c r="N435" t="s">
        <v>564</v>
      </c>
      <c r="O435" t="str">
        <f>IF(OR(ISNUMBER(FIND("ENTREGUES",M435)),N435="Preto",N435="Cinza"),"S","N")</f>
        <v>N</v>
      </c>
      <c r="Q435">
        <v>1</v>
      </c>
    </row>
    <row r="436" spans="1:17" x14ac:dyDescent="0.25">
      <c r="B436" t="s">
        <v>0</v>
      </c>
      <c r="C436" s="4">
        <v>46034</v>
      </c>
      <c r="D436" s="4">
        <v>46051</v>
      </c>
      <c r="E436" s="4">
        <v>46051</v>
      </c>
      <c r="F436" t="s">
        <v>857</v>
      </c>
      <c r="G436" t="s">
        <v>858</v>
      </c>
      <c r="H436" t="s">
        <v>859</v>
      </c>
      <c r="I436" t="s">
        <v>860</v>
      </c>
      <c r="K436" t="s">
        <v>861</v>
      </c>
      <c r="M436" t="s">
        <v>577</v>
      </c>
      <c r="N436" t="s">
        <v>565</v>
      </c>
      <c r="O436" t="str">
        <f>IF(OR(ISNUMBER(FIND("ENTREGUES",M436)),N436="Preto",N436="Cinza"),"S","N")</f>
        <v>S</v>
      </c>
      <c r="Q436">
        <v>61</v>
      </c>
    </row>
    <row r="437" spans="1:17" x14ac:dyDescent="0.25">
      <c r="B437" t="s">
        <v>0</v>
      </c>
      <c r="C437" s="4">
        <v>46034</v>
      </c>
      <c r="D437" s="4">
        <v>46051</v>
      </c>
      <c r="E437" s="4">
        <v>46051</v>
      </c>
      <c r="F437" t="s">
        <v>857</v>
      </c>
      <c r="G437" t="s">
        <v>858</v>
      </c>
      <c r="H437" t="s">
        <v>859</v>
      </c>
      <c r="I437" t="s">
        <v>860</v>
      </c>
      <c r="K437" t="s">
        <v>861</v>
      </c>
      <c r="M437" t="s">
        <v>577</v>
      </c>
      <c r="N437" t="s">
        <v>565</v>
      </c>
      <c r="O437" t="str">
        <f>IF(OR(ISNUMBER(FIND("ENTREGUES",M437)),N437="Preto",N437="Cinza"),"S","N")</f>
        <v>S</v>
      </c>
      <c r="Q437">
        <v>61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28102025</vt:lpstr>
      <vt:lpstr>Ilu_Iluminação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Honda Kobayashi</cp:lastModifiedBy>
  <dcterms:created xsi:type="dcterms:W3CDTF">2025-10-28T18:08:42Z</dcterms:created>
  <dcterms:modified xsi:type="dcterms:W3CDTF">2026-01-20T17:00:17Z</dcterms:modified>
</cp:coreProperties>
</file>