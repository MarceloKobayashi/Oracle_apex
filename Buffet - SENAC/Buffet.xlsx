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07228257146\Desktop\Certificados\Oracle APEX\Buffet - SENAC\"/>
    </mc:Choice>
  </mc:AlternateContent>
  <xr:revisionPtr revIDLastSave="0" documentId="13_ncr:1_{DE05DCBF-0D56-41D8-9D73-D4A92D37CBD4}" xr6:coauthVersionLast="47" xr6:coauthVersionMax="47" xr10:uidLastSave="{00000000-0000-0000-0000-000000000000}"/>
  <bookViews>
    <workbookView xWindow="-120" yWindow="-120" windowWidth="24240" windowHeight="13140" activeTab="3" xr2:uid="{FF7938F6-05CD-4C69-97AC-F9444E6475C2}"/>
  </bookViews>
  <sheets>
    <sheet name="BUF_SOLICITACAO" sheetId="1" r:id="rId1"/>
    <sheet name="BUF_ITEM_SOLICITACAO" sheetId="2" r:id="rId2"/>
    <sheet name="Novos sol" sheetId="3" r:id="rId3"/>
    <sheet name="Novos Item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C10" i="4"/>
  <c r="F9" i="4"/>
  <c r="C9" i="4"/>
  <c r="F8" i="4"/>
  <c r="C8" i="4"/>
  <c r="F7" i="4"/>
  <c r="C7" i="4"/>
  <c r="F6" i="4"/>
  <c r="C6" i="4"/>
  <c r="F5" i="4"/>
  <c r="C5" i="4"/>
  <c r="F4" i="4"/>
  <c r="C4" i="4"/>
  <c r="F3" i="4"/>
  <c r="C3" i="4"/>
  <c r="F2" i="4"/>
  <c r="C2" i="4"/>
  <c r="F217" i="2"/>
  <c r="F218" i="2"/>
  <c r="F219" i="2"/>
  <c r="F220" i="2"/>
  <c r="F221" i="2"/>
  <c r="F222" i="2"/>
  <c r="F223" i="2"/>
  <c r="F224" i="2"/>
  <c r="F225" i="2"/>
  <c r="C218" i="2"/>
  <c r="C219" i="2"/>
  <c r="C220" i="2"/>
  <c r="C221" i="2"/>
  <c r="C222" i="2"/>
  <c r="C223" i="2"/>
  <c r="C224" i="2"/>
  <c r="C225" i="2"/>
  <c r="C217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02" i="2"/>
  <c r="C201" i="2"/>
  <c r="F200" i="2"/>
  <c r="C200" i="2"/>
  <c r="F199" i="2"/>
  <c r="C199" i="2"/>
  <c r="F198" i="2"/>
  <c r="C198" i="2"/>
  <c r="F197" i="2"/>
  <c r="C197" i="2"/>
  <c r="H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C19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H175" i="2" l="1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F115" i="2"/>
  <c r="F42" i="2"/>
  <c r="F40" i="2"/>
  <c r="F41" i="2"/>
  <c r="F37" i="2"/>
  <c r="F38" i="2"/>
  <c r="F3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5" i="2"/>
  <c r="F36" i="2"/>
  <c r="F39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3" i="2"/>
  <c r="C4" i="2"/>
  <c r="C5" i="2"/>
  <c r="C6" i="2"/>
  <c r="C2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Iasmin Soares de Sousa</author>
  </authors>
  <commentList>
    <comment ref="K173" authorId="0" shapeId="0" xr:uid="{683BFC72-68E2-48A0-8AAB-A7FC7DC33DE7}">
      <text>
        <r>
          <rPr>
            <b/>
            <sz val="9"/>
            <color indexed="81"/>
            <rFont val="Segoe UI"/>
            <family val="2"/>
          </rPr>
          <t>Iasmin Soares de Sousa:</t>
        </r>
        <r>
          <rPr>
            <sz val="9"/>
            <color indexed="81"/>
            <rFont val="Segoe UI"/>
            <family val="2"/>
          </rPr>
          <t xml:space="preserve">
Data foi alterada</t>
        </r>
      </text>
    </comment>
  </commentList>
</comments>
</file>

<file path=xl/sharedStrings.xml><?xml version="1.0" encoding="utf-8"?>
<sst xmlns="http://schemas.openxmlformats.org/spreadsheetml/2006/main" count="1919" uniqueCount="477">
  <si>
    <t>SRPSF</t>
  </si>
  <si>
    <t>Jovem Senador</t>
  </si>
  <si>
    <t>Cerimônia de Posse dos Novos Servidores e o Programa de Integração dos Novos Servidores do Senado Federal</t>
  </si>
  <si>
    <t>SGEST</t>
  </si>
  <si>
    <t xml:space="preserve"> SEAGEC</t>
  </si>
  <si>
    <t>Núcleo de Coordenação de Ações Socioambientais</t>
  </si>
  <si>
    <t>NCAS</t>
  </si>
  <si>
    <t xml:space="preserve">Diretoria Geral </t>
  </si>
  <si>
    <t>DGER</t>
  </si>
  <si>
    <t>Coordenação de Atenção à Saúde do Servidor</t>
  </si>
  <si>
    <t>COASAS</t>
  </si>
  <si>
    <t>Coordenação de Administração de Pessoal</t>
  </si>
  <si>
    <t>COAPES</t>
  </si>
  <si>
    <t>Secretaria de Relações Públicas</t>
  </si>
  <si>
    <t>SRP</t>
  </si>
  <si>
    <t>Secretaria de Gestão da Informação e Documentação</t>
  </si>
  <si>
    <t>SGIDOC</t>
  </si>
  <si>
    <t>Cerimônia de Abertura da Exposição permanente do Túnel do Tempo
(Água saborizada)</t>
  </si>
  <si>
    <t>PROMUL</t>
  </si>
  <si>
    <t>CONORF</t>
  </si>
  <si>
    <t>Lançamento do livro "Ensaios sobre Orçamento Público"</t>
  </si>
  <si>
    <t>RESF</t>
  </si>
  <si>
    <t>ADVOSF</t>
  </si>
  <si>
    <t>IFI</t>
  </si>
  <si>
    <t>GBSEGP</t>
  </si>
  <si>
    <t>COMUS</t>
  </si>
  <si>
    <t>COPRIG</t>
  </si>
  <si>
    <t>Oficina Legislativa do Portal e-Cidadania no tema Igualdade Racial
Presença de 30 alunos da Escola Classe 42 de Taguatinga e monitores responsáveis pelos alunos</t>
  </si>
  <si>
    <t>ASCOM</t>
  </si>
  <si>
    <t>ILB</t>
  </si>
  <si>
    <t>V Conferência Nacional de 
Sustentabilidade no Legislativo
Auditório Petrônio Portela</t>
  </si>
  <si>
    <t>NMIDIAS</t>
  </si>
  <si>
    <t>Evento com comitiva de youtubers</t>
  </si>
  <si>
    <t>NAINOVA</t>
  </si>
  <si>
    <t>Apresentação do Desafio de Inovação 2025</t>
  </si>
  <si>
    <t>OMV</t>
  </si>
  <si>
    <t>Encontro Nacional dos Observatórios da Mulher
Auditório Antônio Carlos Magalhães</t>
  </si>
  <si>
    <t>Circuito Saúde 2025</t>
  </si>
  <si>
    <r>
      <t xml:space="preserve">Secretaria de Relações Públicas 
</t>
    </r>
    <r>
      <rPr>
        <i/>
        <sz val="11"/>
        <color theme="1"/>
        <rFont val="Arial"/>
        <family val="2"/>
      </rPr>
      <t>(Ana Lucia Novelli)</t>
    </r>
  </si>
  <si>
    <r>
      <t xml:space="preserve">Serviço de Gestão de Estágios
</t>
    </r>
    <r>
      <rPr>
        <i/>
        <sz val="11"/>
        <color theme="1"/>
        <rFont val="Arial"/>
        <family val="2"/>
      </rPr>
      <t>(Beatriz Balestro Izzo)</t>
    </r>
  </si>
  <si>
    <r>
      <t xml:space="preserve">Ambientação dos Estagiários do Senado Federal (Turma do 1º Semestre de 2024)
</t>
    </r>
    <r>
      <rPr>
        <i/>
        <sz val="11"/>
        <color theme="1"/>
        <rFont val="Arial"/>
        <family val="2"/>
      </rPr>
      <t>Auditório Petrônio Portella</t>
    </r>
  </si>
  <si>
    <r>
      <t xml:space="preserve">Serviço de Atendimento e Gestão de Espaços Culturais
</t>
    </r>
    <r>
      <rPr>
        <i/>
        <sz val="11"/>
        <rFont val="Arial"/>
        <family val="2"/>
      </rPr>
      <t>(Mariana Inês Nepomuceno)</t>
    </r>
  </si>
  <si>
    <r>
      <t xml:space="preserve">Abertura da Exposição 200 anos do Senado Federal
</t>
    </r>
    <r>
      <rPr>
        <i/>
        <sz val="11"/>
        <rFont val="Arial"/>
        <family val="2"/>
      </rPr>
      <t>Salão Negro</t>
    </r>
  </si>
  <si>
    <r>
      <t xml:space="preserve">Festival de Cinema Acessível Kids / Educadores Mais Inclusivos
</t>
    </r>
    <r>
      <rPr>
        <i/>
        <sz val="11"/>
        <color theme="1"/>
        <rFont val="Arial"/>
        <family val="2"/>
      </rPr>
      <t>Viveiro do Senado</t>
    </r>
    <r>
      <rPr>
        <sz val="11"/>
        <color theme="1"/>
        <rFont val="Arial"/>
        <family val="2"/>
      </rPr>
      <t xml:space="preserve"> Federal</t>
    </r>
  </si>
  <si>
    <r>
      <t xml:space="preserve">Evento Dia das Crianças
</t>
    </r>
    <r>
      <rPr>
        <i/>
        <sz val="11"/>
        <color theme="1"/>
        <rFont val="Arial"/>
        <family val="2"/>
      </rPr>
      <t>Salão Negro e Biblioteca</t>
    </r>
  </si>
  <si>
    <r>
      <t xml:space="preserve">Curso de formação de oficiais de ligação para o P20
</t>
    </r>
    <r>
      <rPr>
        <i/>
        <sz val="11"/>
        <color theme="1"/>
        <rFont val="Arial"/>
        <family val="2"/>
      </rPr>
      <t>Auditório Petrônio Portella</t>
    </r>
  </si>
  <si>
    <r>
      <t xml:space="preserve">Campanha Outubro Rosa:
Terceirizadas que farão Mamografias no </t>
    </r>
    <r>
      <rPr>
        <i/>
        <sz val="11"/>
        <color theme="1"/>
        <rFont val="Arial"/>
        <family val="2"/>
      </rPr>
      <t>Mezanino do Espaço do Servidor</t>
    </r>
  </si>
  <si>
    <r>
      <t xml:space="preserve">APPessoal – uma proposta de gestão de pessoas baseada em dados
</t>
    </r>
    <r>
      <rPr>
        <i/>
        <sz val="11"/>
        <color theme="1"/>
        <rFont val="Arial"/>
        <family val="2"/>
      </rPr>
      <t>TCU</t>
    </r>
  </si>
  <si>
    <r>
      <t xml:space="preserve">Lançamento do documentário “Senado, a história que transformou o Brasil”
</t>
    </r>
    <r>
      <rPr>
        <i/>
        <sz val="11"/>
        <color theme="1"/>
        <rFont val="Arial"/>
        <family val="2"/>
      </rPr>
      <t>Auditório Antônio Carlos Magalhães</t>
    </r>
  </si>
  <si>
    <r>
      <rPr>
        <b/>
        <sz val="11"/>
        <color theme="1"/>
        <rFont val="Arial"/>
        <family val="2"/>
      </rPr>
      <t>Procuradoria Especial da Mulher</t>
    </r>
    <r>
      <rPr>
        <sz val="11"/>
        <color theme="1"/>
        <rFont val="Arial"/>
        <family val="2"/>
      </rPr>
      <t>, em parceria com o COASAS
(Bárbara de Oliveira - barbara.oliveira@senado.leg.br, ramal 1710)</t>
    </r>
  </si>
  <si>
    <r>
      <t xml:space="preserve">Roda de Conversa - Novembro Azul
</t>
    </r>
    <r>
      <rPr>
        <i/>
        <sz val="11"/>
        <color theme="1"/>
        <rFont val="Arial"/>
        <family val="2"/>
      </rPr>
      <t>Auditório do Interlegis</t>
    </r>
  </si>
  <si>
    <r>
      <rPr>
        <b/>
        <sz val="11"/>
        <color theme="1"/>
        <rFont val="Arial"/>
        <family val="2"/>
      </rPr>
      <t xml:space="preserve">Coordenação de Orçamentos, Fiscalização e Controle </t>
    </r>
    <r>
      <rPr>
        <sz val="11"/>
        <color theme="1"/>
        <rFont val="Arial"/>
        <family val="2"/>
      </rPr>
      <t xml:space="preserve">
(Adriana Zaban - zaban@senado.leg.br, ramal 3318)</t>
    </r>
  </si>
  <si>
    <r>
      <rPr>
        <b/>
        <sz val="11"/>
        <color theme="1"/>
        <rFont val="Arial"/>
        <family val="2"/>
      </rPr>
      <t>Rede Equidade</t>
    </r>
    <r>
      <rPr>
        <sz val="11"/>
        <color theme="1"/>
        <rFont val="Arial"/>
        <family val="2"/>
      </rPr>
      <t xml:space="preserve">
</t>
    </r>
    <r>
      <rPr>
        <i/>
        <sz val="11"/>
        <color theme="1"/>
        <rFont val="Arial"/>
        <family val="2"/>
      </rPr>
      <t>(Maria Terezinha - rede.equidade@senado.leg.br, ramal 1345)</t>
    </r>
  </si>
  <si>
    <r>
      <t xml:space="preserve">III Seminário Rede Equidade- Direitos Humanos na Gestão Pública: Diversidade, Equidade e Inclusão
</t>
    </r>
    <r>
      <rPr>
        <i/>
        <sz val="11"/>
        <color theme="1"/>
        <rFont val="Arial"/>
        <family val="2"/>
      </rPr>
      <t>Auditório do Interlegis</t>
    </r>
  </si>
  <si>
    <r>
      <rPr>
        <b/>
        <sz val="11"/>
        <color theme="1"/>
        <rFont val="Arial"/>
        <family val="2"/>
      </rPr>
      <t xml:space="preserve">Advocacia do Senado Federal
</t>
    </r>
    <r>
      <rPr>
        <sz val="11"/>
        <color theme="1"/>
        <rFont val="Arial"/>
        <family val="2"/>
      </rPr>
      <t>(Renata Andrade de Azevedo - renataz@senado.leg.br, ramal 1646)</t>
    </r>
  </si>
  <si>
    <r>
      <t xml:space="preserve">Instituição Fiscal Independente
</t>
    </r>
    <r>
      <rPr>
        <sz val="11"/>
        <color theme="1"/>
        <rFont val="Arial"/>
        <family val="2"/>
      </rPr>
      <t>(Thuane Vieira Rocha da Silva - thuane@senado.leg.br
Ramal 2875)</t>
    </r>
  </si>
  <si>
    <r>
      <t xml:space="preserve">Seminário sobre a Lei Complementar – LC 2058/2024: Securitização de ativos como alternativa para a ampliação do investimento público
</t>
    </r>
    <r>
      <rPr>
        <i/>
        <sz val="11"/>
        <color theme="1"/>
        <rFont val="Arial"/>
        <family val="2"/>
      </rPr>
      <t>Auditório Sen. Antônio Carlos Magalhães</t>
    </r>
  </si>
  <si>
    <r>
      <rPr>
        <b/>
        <sz val="11"/>
        <color theme="1"/>
        <rFont val="Arial"/>
        <family val="2"/>
      </rPr>
      <t>Gabinete da Secretaria de Gestão de Pessoas</t>
    </r>
    <r>
      <rPr>
        <sz val="11"/>
        <color theme="1"/>
        <rFont val="Arial"/>
        <family val="2"/>
      </rPr>
      <t xml:space="preserve">
(Camila Seabra - camila.seabra@senado.leg.br - r. 3379)</t>
    </r>
  </si>
  <si>
    <r>
      <t xml:space="preserve">Lançamento do 2º volume do livro "Esta é Minha História"
</t>
    </r>
    <r>
      <rPr>
        <i/>
        <sz val="11"/>
        <color theme="1"/>
        <rFont val="Arial"/>
        <family val="2"/>
      </rPr>
      <t>Biblioteca do Senado</t>
    </r>
  </si>
  <si>
    <r>
      <rPr>
        <b/>
        <sz val="11"/>
        <color theme="1"/>
        <rFont val="Arial"/>
        <family val="2"/>
      </rPr>
      <t>Secretaria de Relações Públicas - SRP</t>
    </r>
    <r>
      <rPr>
        <sz val="11"/>
        <color theme="1"/>
        <rFont val="Arial"/>
        <family val="2"/>
      </rPr>
      <t xml:space="preserve">
(Paula Lopes e Priscilla Flôres - r. 3343 e 1584)</t>
    </r>
  </si>
  <si>
    <r>
      <t xml:space="preserve">Reuniões  Preparatórias,  destinadas  à  eleição  da  Presidência  do 
Senado e da Mesa Diretora
</t>
    </r>
    <r>
      <rPr>
        <i/>
        <sz val="11"/>
        <color theme="1"/>
        <rFont val="Arial"/>
        <family val="2"/>
      </rPr>
      <t>Salão Negro</t>
    </r>
  </si>
  <si>
    <r>
      <rPr>
        <b/>
        <sz val="11"/>
        <color theme="1"/>
        <rFont val="Arial"/>
        <family val="2"/>
      </rPr>
      <t>Secretaria de Relações Públicas - SRP</t>
    </r>
    <r>
      <rPr>
        <sz val="11"/>
        <color theme="1"/>
        <rFont val="Arial"/>
        <family val="2"/>
      </rPr>
      <t xml:space="preserve">
(Priscilla Flôres e Daniela Gonzaga - r. 1584 e 3531)</t>
    </r>
  </si>
  <si>
    <r>
      <t xml:space="preserve">Sessão Solene destinada a inaugurar a 3ª Sessão Legislativa Ordinária da 57ª Legislatura
</t>
    </r>
    <r>
      <rPr>
        <i/>
        <sz val="11"/>
        <color theme="1"/>
        <rFont val="Arial"/>
        <family val="2"/>
      </rPr>
      <t>Auditório Petrônio Portella</t>
    </r>
  </si>
  <si>
    <r>
      <rPr>
        <b/>
        <sz val="11"/>
        <color theme="1"/>
        <rFont val="Arial"/>
        <family val="2"/>
      </rPr>
      <t>Coordenação de Museu</t>
    </r>
    <r>
      <rPr>
        <sz val="11"/>
        <color theme="1"/>
        <rFont val="Arial"/>
        <family val="2"/>
      </rPr>
      <t xml:space="preserve">
(Cristiane Tinoco e Daliane Aparecida- ramal 3079)</t>
    </r>
  </si>
  <si>
    <r>
      <t xml:space="preserve">Exposição Arte e Alma Feminina
</t>
    </r>
    <r>
      <rPr>
        <i/>
        <sz val="11"/>
        <color theme="1"/>
        <rFont val="Arial"/>
        <family val="2"/>
      </rPr>
      <t>Salão Negro</t>
    </r>
  </si>
  <si>
    <r>
      <rPr>
        <b/>
        <sz val="11"/>
        <color theme="1"/>
        <rFont val="Arial"/>
        <family val="2"/>
      </rPr>
      <t>Comitê Permanente pela Promoção da Igualdade de Gênero e Raça no Senado Federal</t>
    </r>
    <r>
      <rPr>
        <sz val="11"/>
        <color theme="1"/>
        <rFont val="Arial"/>
        <family val="2"/>
      </rPr>
      <t xml:space="preserve">
(Stella Maria Vaz Santos Valadares- Ramal 1891)</t>
    </r>
  </si>
  <si>
    <r>
      <t xml:space="preserve">10 anos do Comitê Permanente pela Promoção da Igualdade-COPRIG
</t>
    </r>
    <r>
      <rPr>
        <i/>
        <sz val="11"/>
        <color theme="1"/>
        <rFont val="Arial"/>
        <family val="2"/>
      </rPr>
      <t>Restaurante dos Senadores</t>
    </r>
  </si>
  <si>
    <r>
      <t xml:space="preserve">Seminário Jornada Escritoras do Brasil
</t>
    </r>
    <r>
      <rPr>
        <i/>
        <sz val="11"/>
        <color theme="1"/>
        <rFont val="Arial"/>
        <family val="2"/>
      </rPr>
      <t>Auditório do Interlegis</t>
    </r>
  </si>
  <si>
    <r>
      <t xml:space="preserve">Assessoria de Comunicação
</t>
    </r>
    <r>
      <rPr>
        <sz val="11"/>
        <color theme="1"/>
        <rFont val="Arial"/>
        <family val="2"/>
      </rPr>
      <t>(Ana Lúcia e Márcia - ramais 3388 e 2107)</t>
    </r>
  </si>
  <si>
    <r>
      <t xml:space="preserve">Reunião preparatória para o PBRICS
</t>
    </r>
    <r>
      <rPr>
        <i/>
        <sz val="11"/>
        <color theme="1"/>
        <rFont val="Arial"/>
        <family val="2"/>
      </rPr>
      <t>Foyer do Auditório do Petrônio Portella</t>
    </r>
  </si>
  <si>
    <r>
      <t xml:space="preserve">Instituto Legislativo Brasileiro
</t>
    </r>
    <r>
      <rPr>
        <sz val="11"/>
        <color theme="1"/>
        <rFont val="Arial"/>
        <family val="2"/>
      </rPr>
      <t>(Kellen dos Santos - ramal 4701)</t>
    </r>
  </si>
  <si>
    <r>
      <t xml:space="preserve">Aula Magna do Curso de Pós-Graduação Lato Sensu em Comunicação Legislativa
</t>
    </r>
    <r>
      <rPr>
        <i/>
        <sz val="11"/>
        <color theme="1"/>
        <rFont val="Arial"/>
        <family val="2"/>
      </rPr>
      <t>Auditório Antônio Carlos Magalhães</t>
    </r>
  </si>
  <si>
    <r>
      <t xml:space="preserve">Núcleo de Coordenação de Ações de Responsabilidade Social
</t>
    </r>
    <r>
      <rPr>
        <sz val="11"/>
        <color theme="1"/>
        <rFont val="Arial"/>
        <family val="2"/>
      </rPr>
      <t>(Raquel - Ramal 1054)</t>
    </r>
  </si>
  <si>
    <r>
      <t xml:space="preserve">Núcleo de Mídias Sociais
</t>
    </r>
    <r>
      <rPr>
        <sz val="11"/>
        <color theme="1"/>
        <rFont val="Arial"/>
        <family val="2"/>
      </rPr>
      <t>(Tadeu Sposito - ramal 1368)</t>
    </r>
  </si>
  <si>
    <r>
      <t xml:space="preserve">Núcleo de Apoio à Inovação
</t>
    </r>
    <r>
      <rPr>
        <sz val="11"/>
        <color theme="1"/>
        <rFont val="Arial"/>
        <family val="2"/>
      </rPr>
      <t>(Henrique Porath - ramal 4080)</t>
    </r>
  </si>
  <si>
    <r>
      <rPr>
        <b/>
        <sz val="11"/>
        <color theme="1"/>
        <rFont val="Arial"/>
        <family val="2"/>
      </rPr>
      <t>Observatório da Mulher contra a Violência</t>
    </r>
    <r>
      <rPr>
        <sz val="11"/>
        <color theme="1"/>
        <rFont val="Arial"/>
        <family val="2"/>
      </rPr>
      <t xml:space="preserve">
(Maria Teresa Firmino - Ramal 2915)</t>
    </r>
  </si>
  <si>
    <r>
      <rPr>
        <b/>
        <sz val="11"/>
        <color rgb="FF000000"/>
        <rFont val="Arial"/>
        <family val="2"/>
      </rPr>
      <t xml:space="preserve">Circuito Saúde 2025
</t>
    </r>
    <r>
      <rPr>
        <sz val="11"/>
        <color rgb="FF000000"/>
        <rFont val="Arial"/>
        <family val="2"/>
      </rPr>
      <t>(Rosana Mendes Alves Lobo - Ramal 215)</t>
    </r>
  </si>
  <si>
    <r>
      <rPr>
        <b/>
        <sz val="11"/>
        <color theme="1"/>
        <rFont val="Arial"/>
        <family val="2"/>
      </rPr>
      <t>Comissão de Direitos Humanos e Legislação Participativa</t>
    </r>
    <r>
      <rPr>
        <sz val="11"/>
        <color theme="1"/>
        <rFont val="Arial"/>
        <family val="2"/>
      </rPr>
      <t xml:space="preserve">
(Kamila Moura - Ramal 4646)</t>
    </r>
  </si>
  <si>
    <t>CDH</t>
  </si>
  <si>
    <t>Agosto Lilás
CDH: Ala Sen. Nilo Coelho, sala 4A</t>
  </si>
  <si>
    <r>
      <rPr>
        <b/>
        <sz val="11"/>
        <color rgb="FF000000"/>
        <rFont val="Arial"/>
        <family val="2"/>
      </rPr>
      <t xml:space="preserve">Secretaria de Relações Públicas 
</t>
    </r>
    <r>
      <rPr>
        <sz val="11"/>
        <color rgb="FF000000"/>
        <rFont val="Arial"/>
        <family val="2"/>
      </rPr>
      <t>(Priscilla Flores ou Ramena - Ramal 1582)</t>
    </r>
  </si>
  <si>
    <t>Lançamento do livro "Memórias e Testemunhos: Revelações Políticas" - Edison Lobão</t>
  </si>
  <si>
    <r>
      <rPr>
        <b/>
        <sz val="11"/>
        <color theme="1"/>
        <rFont val="Arial"/>
        <family val="2"/>
      </rPr>
      <t>Jovem Senador</t>
    </r>
    <r>
      <rPr>
        <sz val="11"/>
        <color theme="1"/>
        <rFont val="Arial"/>
        <family val="2"/>
      </rPr>
      <t xml:space="preserve">
Rosemari Sales (ramal 1913)</t>
    </r>
  </si>
  <si>
    <t>Semana de Vivência 
Legislativa – Programa Jovem Senador 2025.</t>
  </si>
  <si>
    <r>
      <rPr>
        <b/>
        <sz val="11"/>
        <color theme="1"/>
        <rFont val="Arial"/>
        <family val="2"/>
      </rPr>
      <t xml:space="preserve">Assessoria de Assuntos Internacionais
</t>
    </r>
    <r>
      <rPr>
        <sz val="11"/>
        <color theme="1"/>
        <rFont val="Arial"/>
        <family val="2"/>
      </rPr>
      <t>(Fabrício, ramal 3791)</t>
    </r>
  </si>
  <si>
    <t>ASINT</t>
  </si>
  <si>
    <t>Recepção de delegação técnica do Parlamento da Zâmbia</t>
  </si>
  <si>
    <r>
      <t xml:space="preserve">Secretaria de Relações Públicas
</t>
    </r>
    <r>
      <rPr>
        <sz val="11"/>
        <color theme="1"/>
        <rFont val="Arial"/>
        <family val="2"/>
      </rPr>
      <t>(Priscilla ou Ramena, ramais 1584 e 1583)</t>
    </r>
  </si>
  <si>
    <t>Militares da Orquestra Sinfônica da Força Aérea Brasileira, que apresentarão na Sessão Solene destinada a homenagear os 100 anos do Grupo Globo e 60 anos da Rede Globo</t>
  </si>
  <si>
    <r>
      <rPr>
        <b/>
        <sz val="11"/>
        <color theme="1"/>
        <rFont val="Arial"/>
        <family val="2"/>
      </rPr>
      <t xml:space="preserve">Gestão de Estagiários
</t>
    </r>
    <r>
      <rPr>
        <sz val="11"/>
        <color theme="1"/>
        <rFont val="Arial"/>
        <family val="2"/>
      </rPr>
      <t>(Patrícia, ramal 7136)</t>
    </r>
  </si>
  <si>
    <t>SEGEST</t>
  </si>
  <si>
    <t>Palestra de recepção de estagiários(os) e jovens aprendizes sobre assédio e outras violências</t>
  </si>
  <si>
    <t>Lançamento do livro "Lei de Responsabilidade Fiscal - 25 anos - Reflexões Legislativas e Propostas de Aprimoramento"</t>
  </si>
  <si>
    <r>
      <rPr>
        <b/>
        <sz val="11"/>
        <color theme="1"/>
        <rFont val="Arial"/>
        <family val="2"/>
      </rPr>
      <t>Assessoria de Comunicação</t>
    </r>
    <r>
      <rPr>
        <sz val="11"/>
        <color theme="1"/>
        <rFont val="Arial"/>
        <family val="2"/>
      </rPr>
      <t xml:space="preserve">
(Rosana e Márcia - ramais 2105 e 2107)</t>
    </r>
  </si>
  <si>
    <t xml:space="preserve"> 17º Encontro da Rede Parlamentar para a Igualdade de Gênero do ParlAméricas com o tema Pequim +30: Promovendo a equidade em um mundo em transformação</t>
  </si>
  <si>
    <t>Gabinete do Senador Paulo Paim
Ivanete Ferronatto
5232 - 5231 - 5230 - 5235</t>
  </si>
  <si>
    <t>GSPPAI </t>
  </si>
  <si>
    <t>Sessão Especial em Comemoração ao Dia 
Nacional da Pessoa Idosa</t>
  </si>
  <si>
    <t xml:space="preserve">Secretaria de Polícia do Senado Federal
</t>
  </si>
  <si>
    <t>SPOL</t>
  </si>
  <si>
    <t>CPI do INSS</t>
  </si>
  <si>
    <t>Assessoria de Comunicação
(Rosana e Márcia - ramais 2105 e 2107)</t>
  </si>
  <si>
    <t>Policial Mirim</t>
  </si>
  <si>
    <t>Café da manhã no Restaurante dos Senadores para entrega dos certificados por tempo de serviço aos servidores</t>
  </si>
  <si>
    <t>Secretaria de Relações Públicas- Coordenação de Visitação
(Juliana Borges- ramal 3388)</t>
  </si>
  <si>
    <t>SRPSF
COVISITA</t>
  </si>
  <si>
    <t>Evento em comemoração ao Dia das Crianças, destinado aos filhos dos colaboradores do Senado Federal</t>
  </si>
  <si>
    <t>Secretaria de Relações Públicas
(Juliana Borges- ramal 3388)</t>
  </si>
  <si>
    <t>Lançamento da Coleção de Teses, Dissertações  e Monografias de Servidores do Senado Federal</t>
  </si>
  <si>
    <t>Coordenação de Atenção à Saúde do Servidor
(Natália - 5126)</t>
  </si>
  <si>
    <t>Outubro Rosa</t>
  </si>
  <si>
    <t>Secretaria de Relações Públicas
(Cristiana Araújo - ramal 3388)</t>
  </si>
  <si>
    <t>Recepção dos novos Servidores do Senado Federal</t>
  </si>
  <si>
    <t>ASCOM/ DGER                       Marcia  Yamaguti/ Ana Lúcia Novelli  3303.2107</t>
  </si>
  <si>
    <t>2° Desafio de Inovação do Senado Federal</t>
  </si>
  <si>
    <t>CDH
Kamila Moura
2005</t>
  </si>
  <si>
    <t>Audiência Pública “Direitos Humanos das Crianças”.</t>
  </si>
  <si>
    <t>Núcleo de Coordenação de Ações de Responsabilidade Social 
(Natanne - 5846)</t>
  </si>
  <si>
    <t>Oficina 
“Agentes de Transformação Social”, a ser realizada por ocasião do Festival de Cinema Acessível Kids®</t>
  </si>
  <si>
    <t>Gabinete do Senador Paulo Paim
Felipe Miguel e/ou Maria Luiza
5232 - 5231 - 5230 - 5235</t>
  </si>
  <si>
    <t>Sessão de Premiações e Condecorações da Comenda Abdias Nascimento</t>
  </si>
  <si>
    <t>Coordenação de Atenção à Saúde do Servidor
Sarah - 5126</t>
  </si>
  <si>
    <t>Campanha Novembro Azul</t>
  </si>
  <si>
    <r>
      <rPr>
        <b/>
        <sz val="11"/>
        <color theme="1"/>
        <rFont val="Arial"/>
        <family val="2"/>
      </rPr>
      <t xml:space="preserve">Coordenação de Polícia de Investigação </t>
    </r>
    <r>
      <rPr>
        <sz val="11"/>
        <color theme="1"/>
        <rFont val="Arial"/>
        <family val="2"/>
      </rPr>
      <t xml:space="preserve">
(4404)</t>
    </r>
  </si>
  <si>
    <t xml:space="preserve">COPINV </t>
  </si>
  <si>
    <t>Convocados 
pela CPMI-INSS</t>
  </si>
  <si>
    <t>Coordenação de Atenção à 
Saúde do Servidor
(5126)</t>
  </si>
  <si>
    <t>Ônibus da 
Saúde do Homem</t>
  </si>
  <si>
    <t xml:space="preserve">Rede Equidade
Coordenadoria da Rede Equidade
(1345 - Terezinha
ou
6605 - Lui Texeira)
</t>
  </si>
  <si>
    <t>RE</t>
  </si>
  <si>
    <t>IV  Seminário  da  Rede 
Equidade - Mulheres e a redemocratização do Brasil: um legado de coragem e resistência</t>
  </si>
  <si>
    <t>Secretaria de Comunicação Social
*Tratativas com Felipe  Guimarães  Côrtes -COPEL.</t>
  </si>
  <si>
    <t>SECOM</t>
  </si>
  <si>
    <t>Trabalhos da Subcomissão Técnica da Concorrência nº 1/2026</t>
  </si>
  <si>
    <t>Secretaria de Relações Públicas e Comunicação Organizacional</t>
  </si>
  <si>
    <t>SRPCO</t>
  </si>
  <si>
    <t>Palestra intitulada “Eles 
nos deram esperança de novo: gravidez e nascimento no subcampo Kaugering 1 Dachau”</t>
  </si>
  <si>
    <t>Abertura dos Trabalhos Legislativos</t>
  </si>
  <si>
    <t>ASCOM/ DGER                       Marcia Yamaguti
 (61) 3303-2107</t>
  </si>
  <si>
    <t>Apresentação do Desenvolvimento Local de Soluções</t>
  </si>
  <si>
    <t>ILB
Flávia Kei Oshiro
Ramal: 2610</t>
  </si>
  <si>
    <t>Lançamento do Guia de Boas Práticas Ambientais, Sociais e de Governança no Legislativo</t>
  </si>
  <si>
    <t>Coletiva de Imprensa da Sala Lilás</t>
  </si>
  <si>
    <t>Encontro Nacional do Programa Jovem Senador 2026</t>
  </si>
  <si>
    <t>Secretaria-Geral da Mesa</t>
  </si>
  <si>
    <t>SGM</t>
  </si>
  <si>
    <t>80 anos da Secretaria-Geral da Mesa do Senado</t>
  </si>
  <si>
    <t>P20 - Reuniões Bilaterais</t>
  </si>
  <si>
    <t xml:space="preserve">Dragões da Independência </t>
  </si>
  <si>
    <t>I Congresso Brasileiro de Direito Parlamentar</t>
  </si>
  <si>
    <t>Lançamento do livro “Pilares do Poder Legislativo”</t>
  </si>
  <si>
    <t>XI Fórum Parlamentar do BRICS
2ª Reunião de Presidentes das CREs</t>
  </si>
  <si>
    <t>SGL_ORGAO</t>
  </si>
  <si>
    <t>NOM_SOLICITANTE</t>
  </si>
  <si>
    <t>NOM_EVENTO</t>
  </si>
  <si>
    <t>ID_SOLICITACAO</t>
  </si>
  <si>
    <t>5-Coffee Break</t>
  </si>
  <si>
    <t>Contratado</t>
  </si>
  <si>
    <t>Pago</t>
  </si>
  <si>
    <t>7-Lunch Box</t>
  </si>
  <si>
    <t>6-Refeições Simplificadas</t>
  </si>
  <si>
    <t>2-Empratado para Almoço</t>
  </si>
  <si>
    <t>9-Serviço de Apoio</t>
  </si>
  <si>
    <t xml:space="preserve">- Solicitação demandante: 
- Autorização DGER: 
- Ateste: 
- NF: 
- Solicitação de pagamento: 
- Pagamento:
- CRG: </t>
  </si>
  <si>
    <t>8-Café da Manhã</t>
  </si>
  <si>
    <t>12-Serviço de Apoio Vip</t>
  </si>
  <si>
    <t>-</t>
  </si>
  <si>
    <t>4-Coquetel</t>
  </si>
  <si>
    <t>10-Serviço de Bebida Especial</t>
  </si>
  <si>
    <t>11-Serviço de Apoio Especial</t>
  </si>
  <si>
    <t>Cancelado</t>
  </si>
  <si>
    <t>Stella enviou e-mail dia 10/03 informando que a oficina será adiada, assim que tiverem data definida entra em contato para alinhar os detalhes logósticos.</t>
  </si>
  <si>
    <t>1-Empratado Especial</t>
  </si>
  <si>
    <t>Em negociação</t>
  </si>
  <si>
    <t>FK_ID_SOLICITACAO</t>
  </si>
  <si>
    <t>FK_ID_DESC</t>
  </si>
  <si>
    <t>QTD_PESSOAS</t>
  </si>
  <si>
    <t>LOCAL</t>
  </si>
  <si>
    <t>STATUS</t>
  </si>
  <si>
    <t>DATAS_HORARIOS</t>
  </si>
  <si>
    <t>- Solicitação demandante: 00100.109159/2024-46;
- Autorização DGER: 00100.118567/2024-99;
- Ateste: 00100.109159/2024-46;
- NF: 00100.109159/2024-46-1;
- Solicitação de pagamento: 00100.141748/2024-19;
- Pagamento: 00100.142817/2024-10;
- CRG: 00100.142854/2024-10.</t>
  </si>
  <si>
    <t>- Solicitação demandante: 00100.156284/2024-45;
- Autorização DGER: 00100.156284/2024-45;
- Ateste: 00100.156284/2024-45;
- NF: 00100.156290/2024-01;
- Solicitação de pagamento: 00100.157043/2024-13;
- Pagamento: 00100.158294/2024-15;
- CRG: 00100.158466/2024-51.</t>
  </si>
  <si>
    <t>- Solicitação demandante: 00100.156298/2024-69;
- Autorização DGER: 00100.156298/2024-69;
- Ateste: 00100.156298/2024-69;
- NF: 00100.156298/2024-69; 
- NF 2: 00100.163023/2024-81;
- Solicitação de pagamento: 00100.157043/2024-13;
- Solicitação de pagamento 2: 00100.163947/2024-88;
- Pagamento: 00100.158294/2024-15;
- Pagamento 2: 00100.166062/2024-31;
- CRG: 00100.158466/2024-51;
- CRG 2: 00100.166414/2024-58.</t>
  </si>
  <si>
    <t>- Solicitação demandante: 00100.180695/2024-51;
- Autorização DGER: 00100.180695/2024-51;
- Ateste: 00100.180707/2024-48;
- NF: 00100.180725/2024-20;
- Solicitação de pagamento: 00100.181768/2024-22;
- Pagamento: 00100.183080/2024-87;
- CRG: 00100.183122/2024-80.</t>
  </si>
  <si>
    <t>- Autorização DGER: 00100.181592/2024-17;
- Ateste: 00100.181630/2024-23;
- NF: 00100.181690/2024-46;
- Solicitação de pagamento: 00100.181768/2024-22;
- Pagamento: 00100.183080/2024-87;
- CRG: 00100.183122/2024-80.</t>
  </si>
  <si>
    <t>- Autorização DGER: 00100.188453/2024-14;
- Ateste: 00100.188466/2024-85;
- E-mail SENAC de envio da NF: 00100.188466/2024-85;
- NF: 00100.188522/2024-81;
- Solicitação de pagamento: 00100.188615/2024-14;
- NP: 00100.188942/2024-68.</t>
  </si>
  <si>
    <t>- Autorização DGER: 00100.188499/2024-25;
- Ateste: 00100.188513/2024-91;
- E-mail SENAC de envio da NF: 00100.188513/2024-91;
- NF: 00100.188531/2024-72;
- Solicitação de pagamento: 00100.188615/2024-14;
- NP: 00100.188942/2024-68.</t>
  </si>
  <si>
    <t>- Autorização DGER: 00100.188545/2024-96;
- Ateste: 00100.188557/2024-11;
- E-mail SENAC de envio da NF: 00100.188557/2024-11;
- NF: 00100.188567/2024-56;
- Solicitação de pagamento: 00100.188615/2024-14;
- NP: 00100.188942/2024-68.</t>
  </si>
  <si>
    <t>- Solicitação do demandante: 00100.183295/2024-06, 00100.186723/2024-44;
- Autorização DGER: 00100.184959/2024-46, 00100.187460/2024-91, 00100.187636/2024-12;
- Ateste: 00100.210869/2024-18;
- E-mail SENAC de envio da NF: 00100.210869/2024-18;
- NF: 00100.210869/2024-18;
- Solicitação de pagamento: 00100.210934/2024-13;
- NP: 00100.212413/2024-92.</t>
  </si>
  <si>
    <t>- Autorização DGER: 00100.203751/2024-33;
- Ateste: 00100.203758/2024-55;
- E-mail SENAC de envio da NF: 00100.203758/2024-55;
- NF: 00100.203778/2024-26;
- Solicitação de pagamento: 00100.206909/2024-27;
- NP: 00100.212411/2024-01.</t>
  </si>
  <si>
    <t>- Autorização DGER: 00100.205204/2024-92;
- Ateste: 00100.205209/2024-15;
- E-mail SENAC de envio da NF: 00100.205209/2024-15;
- NF: 00100.205211/2024-94;
- Solicitação de pagamento: 00100.206909/2024-27;
- NP: 00100.212411/2024-01.</t>
  </si>
  <si>
    <t>- Solicitação do demandante: 00100.201564/2024-15;
- Autorização DGER: 00100.201689/2024-45;
- Ateste: 00100.220513/2024-92-1;
- NF: 00100.220513/2024-92;
- Solicitação de pagamento: 00100.220655/2024-50;
- Pagamento: 00100.224874/2024-16;
- CRG: 00100.226943/2024-18.</t>
  </si>
  <si>
    <t>- Solicitação do demandante: 00100.201831/2024-54;
- Autorização DGER: 00100.204672/2024-40;
- Ateste: 00100.214760/2024-50-1;
- NF: 00100.214760/2024-50;
- Solicitação de pagamento: 00100.215026/2024-16;
- Pagamento: 00100.217589/2024-31;
- CRG: 00100.218918/2024-61.</t>
  </si>
  <si>
    <t>- Solicitação do demandante: 00100.197534/2024-05;
- Autorização DGER: 00100.205920/2024-70;
- Ateste: 00100.220613/2024-19-1;
- NF: 00100.220613/2024-19;
- Solicitação de pagamento: 00100.220655/2024-50;
- Pagamento: 00100.224874/2024-16;
- CRG: 00100.226943/2024-18.</t>
  </si>
  <si>
    <t>- Solicitação do demandante: 00100.210374/2024-99;
- Autorização DGER: 00100.211485/2024-12;
- Ateste: 00100.222894/2024-44-1;
- NF: 00100.222894/2024-44;
- Solicitação de pagamento: 00100.222930/2024-70;
- Pagamento: 00100.224874/2024-16;
- CRG: 00100.226943/2024-18.</t>
  </si>
  <si>
    <t>- Solicitação do demandante: 00100.204417/2024-05;
- Autorização DGER: 00100.206637/2024-65;
- Ateste: 00100.222901/2024-16-1;
- NF: 00100.222901/2024-16;
- Solicitação de pagamento: 00100.222930/2024-70;
- Pagamento: 00100.224874/2024-16;
- CRG: 00100.226943/2024-18.</t>
  </si>
  <si>
    <t>- Solicitação do demandante: 00100.210773/2024-50;
- Autorização DGER: 00100.214925/2024-93;
- Ateste: 00100.227945/2024-24-1;
- NF: 00100.227945/2024-24;
- Solicitação de pagamento: 00100.227975/2024-31;
- Pagamento: 00100.228404/2024-13;
- CRG:00100.228502/2024-51.</t>
  </si>
  <si>
    <t>- Solicitação do demandante: 00100.015382/2025-12;
- Autorização DGER: 00100.015815/2025-21;
- Ateste: 00100.021585/2025-30-1;
- NF: 00100.021585/2025-30;
- Solicitação de pagamento: 00100.022712/2025-18;
- Pagamento: 00100.024109/2025-71;
- CRG: 00100.024400/2025-49.</t>
  </si>
  <si>
    <t>- Solicitação do demandante: 00100.006588/2025-43;
- Autorização DGER: 00100.007012/2025-01;
- Ateste: 00100.021819/2025-49-1;
- NF: 00100.021819/2025-49;
- Solicitação de pagamento: 00100.022712/2025-18;
- Pagamento: 00100.024109/2025-71;
- CRG: 00100.024400/2025-49.</t>
  </si>
  <si>
    <t>- Solicitação do demandante: 00100.033242/2025-18;
- Autorização DGER: 00100.035016/2025-71;
- Ateste: 00100.049438/2025-24;
- NF: 00100.049471/2025-54;
- Solicitação de pagamento: 00100.049579/2025-47;
- Pagamento: 00100.050210/2025-87;
- CRG: 00100.050223/2025-56.</t>
  </si>
  <si>
    <t>- Solicitação do demandante: 00100.029059/2025-18;
- Autorização DGER: 00100.029428/2025-72;
- Ateste: 00100.054232/2025-16;
- NF: 00100.054249/2025-73;
- Solicitação de pagamento: 00100.054470/2025-21;
- Pagamento: 00100.056300/2025-81;
- CRG: 00100.056839/2025-31.</t>
  </si>
  <si>
    <t>- Solicitação do demandante: 00100.033206/2025-54;
- Autorização DGER: 00100.035031/2025-10;
- Ateste: 00100.054299/2025-51;
- NF: 00100.054324/2025-04;
- Solicitação de pagamento: 00100.054470/2025-21;
- Pagamento: 00100.056300/2025-81;
- CRG: 00100.056839/2025-31.</t>
  </si>
  <si>
    <t>- Solicitação do demandante: 00100.077633/2025-44 (001);
- Autorização DGER: 00100.077633/2025-44 (001);
- Ateste: 00100.092940/2025-55-1;
- NF: 00100.092940/2025-55;
- Solicitação de pagamento: 00100.092953/2025-24;
- Pagamento: 00100.093869/2025-28;
- CRG: 00100.095003/2025-51.</t>
  </si>
  <si>
    <t>- Solicitação do demandante: 00100.098248/2025-31;
- Autorização DGER: 00100.098248/2025-31;
- Ateste: 00100.098264/2025-23;
- NF: 00100.098278/2025-47;
- Solicitação de pagamento: 00100.098355/2025-69;
- Pagamento: 00100.099163/2025-70;
- CRG: 00100.100358/2025-70.</t>
  </si>
  <si>
    <t>- Solicitação do demandante: 00100.101186/2025-51;
- Autorização DGER: 00100.101186/2025-51;
- Ateste: 00100.101195/2025-42;
- NF: 00100.101207/2025-39;
- Solicitação de pagamento: 00100.101244/2025-47;
- Pagamento: 00100.102536/2025-05;
- CRG: 00100.103353/2025-07.</t>
  </si>
  <si>
    <t>- Solicitação do demandante: 00100.107096/2025-74;
- Autorização DGER: 00100.107096/2025-74;
- Ateste: 00100.107108/2025-61;
- NF: 00100.107116/2025-15;
- Solicitação de pagamento: 00100.107615/2025-02;
- Pagamento: 00100.108125/2025-15;
- CRG: 00100.108421/2025-16.</t>
  </si>
  <si>
    <t>- Solicitação do demandante: 00100.107136/2025-88;
- Autorização DGER: 00100.107136/2025-88;
- Ateste: 00100.107108/2025-61;
- NF: 00100.107116/2025-15;
- Solicitação de pagamento: 00100.107615/2025-02;
- Pagamento: 00100.108125/2025-15;
- CRG: 00100.108421/2025-16.</t>
  </si>
  <si>
    <t>- Solicitação do demandante: 00100.107164/2025-03;
- Autorização DGER: 00100.107164/2025-03;
- Ateste: 00100.107174/2025-31;
- NF: 00100.107190/2025-23;
- Pagamento: 00100.108125/2025-15;
- CRG: 00100.108421/2025-16.</t>
  </si>
  <si>
    <t>- Autorização DGER: 00100.111189/2025-01;
- Ateste: 00100.111203/2025-69;
- NF: 00100.111230/2025-31;
- Solicitação de pagamento: 00100.111297/2025-76;
- Pagamento: 00100.112218/2025-44;
- CRG: 00100.112291/2025-16.</t>
  </si>
  <si>
    <t>- Autorização DGER: 00100.125943/2025-82;
- Ateste: 00100.125968/2025-86;
- NF: 00100.125991/2025-71;
- Solicitação de pagamento: 00100.126117/2025-51;
- Pagamento: 00100.126724/2025-11;
- CRG: 00100.127244/2025-77.</t>
  </si>
  <si>
    <t>- Autorização DGER: 00100.123805/2025-69;
- Ateste: 00100.123811/2025-16;
- NF: 00100.123822/2025-04;
- Solicitação de pagamento: 00100.123929/2025-44;
- Pagamento: 00100.124310/2025-57;
- CRG: 00100.124880/2025-47.</t>
  </si>
  <si>
    <t>- Autorização DGER: 00100.123831/2025-97;
- Ateste: 00100.123838/2025-17;
- NF: 00100.123842/2025-77;
- Solicitação de pagamento: 00100.123929/2025-44;
- Pagamento: 00100.124310/2025-57;
- CRG: 00100.124880/2025-47.</t>
  </si>
  <si>
    <t>- Solicitação do demandante: 00100.151265/2025-11; 
- Autorização DGER: 00100.151271/2025-61;
- Ateste: 00100.151323/2025-07;
- NF: 00100.151289/2025-62;
- Solicitação de pagamento: 00100.151326/2025-32;
- Pagamento: 00100.152294/2025-92;
- CRG: 00100.152343/2025-97.</t>
  </si>
  <si>
    <t>- Solicitação do demandante: 00100.116788/2025-11;
- Autorização DGER: 00100.118769/2025-11;
- NF: 00100.153508/2025-48;
- Ateste: 00100.153508/2025-48-2;
- Solicitação de pagamento: 00100.153548/2025-90;
- Pagamento: 00100.154040/2025-17;
- CRG: 00100.154289/2025-14.</t>
  </si>
  <si>
    <t>- Autorização DGER 00100.135056/2025-12;
- Ateste: 00100.157008/2025-85-1;
- NF: 00100.157008/2025-85;
- Solicitação de pagamento: 00100.157056/2025-73;
- Pagamento: 00100.157226/2025-10;
- CRG: 00100.157668/2025-66.</t>
  </si>
  <si>
    <t>- Autorização DGER: 00100.145971/2025-16;
- Ateste: 00100.153028/2025-87;
- NF: 00100.153032/2025-45;
- Solicitação de pagamento: 00100.153055/2025-50;
- Pagamento: 00100.153266/2025-92;
- CRG: 00100.153304/2025-15.</t>
  </si>
  <si>
    <t>- Autorização DGER: 00100.151193/2025-02;
- Certidão trabalhista atualizada: 00100.155870/2025-53; 
- Ateste: 00100.155794/2025-86-1;
- NF: 00100.155794/2025-86;
- Solicitação de pagamento: 00100.157056/2025-73;
- Pagamento: 00100.157226/2025-10;
- CRG: 00100.157668/2025-66.</t>
  </si>
  <si>
    <t>- Autorização DGER: 00100.147182/2025-10;
- Ateste: 00100.175121/2025-42-1;
- NF: 00100.175121/2025-42;
- Solicitação de pagamento: 00100.175992/2025-66;
- Pagamento: 00100.176852/2025-13;
- CRG: 00100.177020/2025-14.</t>
  </si>
  <si>
    <t>- Autorização DGER: 00100.173891/2025-51;
- Ateste: 00100.173899/2025-17;
- NF: 00100.173901/2025-58;
- Solicitação de pagamento: 00100.173912/2025-38;
- Pagamento: 00100.174976/2025-56;
- CRG: 00100.175041/2025-97.</t>
  </si>
  <si>
    <t>- Solicitação do demandante: 00100.168882/2025-48; 
- Autorização DGER: 00100.188414/2025-90;
- Ateste: 00100.183376/2025-89-1;
- NF: 00100.183376/2025-89;
- Solicitação de pagamento: 00100.191723/2025-47;
- Pagamento: 00100.192629/2025-13;
- CRG: 00100.193760/2025-90.</t>
  </si>
  <si>
    <t>- Solicitação demandante: 00100.172479/2025-13; 
- Autorização DGER: 00100.196676/2025-28;
- Ateste: 00100.189628/2025-83-1;
- NF: 00100.189628/2025-83;
- Solicitação de pagamento: 00100.191723/2025-47;
- Pagamento: 00100.192629/2025-13;
- CRG: 00100.193760/2025-90.</t>
  </si>
  <si>
    <t>- Solicitação demandante: 00100.179298/2025-18;
- Autorização DGER: 00100.179856/2025-45;
- Ateste: 00100.185864/2025-21-1;
- NF: 00100.185864/2025-21;
- Solicitação de pagamento: 00100.191723/2025-47;
- Pagamento: 00100.192629/2025-13;
- CRG: 00100.193760/2025-90.</t>
  </si>
  <si>
    <t>- Autorização DGER: 00100.181215/2025-51;
- Ateste: 00100.190598/2025-58-1;
- NF: 00100.190598/2025-58;
- Solicitação de pagamento: 00100.191723/2025-47;
- Pagamento: 00100.192629/2025-13;
- CRG: 00100.193760/2025-90.</t>
  </si>
  <si>
    <t>- Autorização DGER: 00100.185960/2025-79;
- Ateste: 00100.194830/2025-27-1;
- NF: 00100.194830/2025-27;
- Solicitação de pagamento: 00100.198736/2025-47;
- Pagamento: 00100.198351/2025-80;
- CRG: 00100.201316/2025-55.</t>
  </si>
  <si>
    <t>- Solicitação demandante: 00100.186480/2025-25;
- Autorização DGER: 00100.187172/2025-17;
- Ateste: 00100.194716/2025-05-1;
- NF: 00100.194716/2025-05;
- Solicitação de pagamento: 00100.198736/2025-47;
- Pagamento: 00100.198351/2025-80;
- CRG: 00100.201316/2025-55.</t>
  </si>
  <si>
    <t>- Autorização DGER: 00100.189127/2025-05;
- Ateste: 00100.198366/2025-48-1;
- NF: 00100.198366/2025-48;
- Solicitação de pagamento: 00100.198736/2025-47;
- Pagamento: 00100.198351/2025-80;
- CRG: 00100.201316/2025-55.</t>
  </si>
  <si>
    <t>- Autorização DGER: 00100.188113/2025-66;
- Ateste: 00100.197228/2025-41-1;
- NF: 00100.197228/2025-41;
- Solicitação de pagamento: 00100.198736/2025-47;
- Pagamento: 00100.198351/2025-80;
- CRG: 00100.201316/2025-55.</t>
  </si>
  <si>
    <t>- Autorização DGER: 00100.191559/2025-78;
- Ateste: 0100.206304/2025-17-1
- NF:0100.206304/2025-17
- Solicitação de pagamento: 00100.210856/2025-20
- Pagamento: 00100.211485/2025-01
- CRG: 00100.213524/2025-05</t>
  </si>
  <si>
    <t>- Autorização DGER: 00100.197046/2025-71;
- Ateste: 00100.206277/2025-82-1
- NF:00100.206277/2025-82
- Solicitação de pagamento: 00100.210856/2025-20
- Pagamento: 00100.211485/2025-01
- CRG: 00100.213524/2025-05</t>
  </si>
  <si>
    <t>- Autorização DGER: 00100.202217/2025-91;
- Ateste: 00100.210336/2025-17-1
- NF: 00100.210336/2025-17
- Solicitação de pagamento: 00100.210856/2025-20
- Pagamento: 00100.211485/2025-01
- CRG: 00100.213524/2025-05</t>
  </si>
  <si>
    <t>- Autorização DGER: 00100.183734/2025-53
- Ateste: 00100.237672/2025-15
- NF: 00100.237677/2025-30
- Solicitação de pagamento: 00100.239712/2025-55
- Pagamento: 00100.239712/2025-55
- CRG: 00100.239712/2025-55</t>
  </si>
  <si>
    <t>- Autorização DGER: 00100.194113/2025-03;
- Ateste: 00100.223694/2025-90
- NF: 00100.223694/2025-90
- Solicitação de pagamento: 00100.223927/2025-54
- Pagamento: 00100.225460/2025-87
- CRG: 00100.225668/2025-04</t>
  </si>
  <si>
    <t>- Autorização DGER: 00100.211262/2025-36
- Ateste:00100.229535/2025-07  
- NF: 00100.229535/2025-07-01
- Solicitação de pagamento: 00100.233210/2025-11
- Pagamento: 00100.233210/2025-11
- CRG: 00100.233210/2025-11</t>
  </si>
  <si>
    <t>- Autorização DGER: 00100.226751/2025-92
- Ateste: 00100.240274/2025-78
- NF: 00100.240276/2025-67
- Solicitação de pagamento: 00100.243610/2025-34
- Pagamento: 00100.243610/2025-34
- CRG: 00100.243610/2025-34</t>
  </si>
  <si>
    <t>- Autorização DGER: 00100.234796/2025-31
- Ateste: 00100.234805/2025-93
- NF: 00100.234818/2025-62
- Solicitação de pagamento: 00100.239701/2025-75
- Pagamento: 00100.239701/2025-75
- CRG: 00100.239701/2025-75</t>
  </si>
  <si>
    <t>- Autorização DGER: 00100.241004/2025-84
- Ateste: 00100.241014/2025-10
- NF: 00100.241019/2025-42
- Solicitação de pagamento: 00100.243740/2025-77
- Pagamento: 00100.243740/2025-77
- CRG: 00100.243740/2025-77</t>
  </si>
  <si>
    <t>- Autorização DGER: 00100.013797/2026-24 e
00100.016138/2026-40
- Ateste: 00100.023980/2026-38
- NF: 00100.023991/2026-18
- Solicitação de pagamento: 00100.025226/2026-32
- Pagamento: 00100.025226/2026-32
- CRG: 00100.025226/2026-32</t>
  </si>
  <si>
    <r>
      <t xml:space="preserve">21/08/2024
</t>
    </r>
    <r>
      <rPr>
        <sz val="9"/>
        <rFont val="Arial"/>
        <family val="2"/>
      </rPr>
      <t>Manhã (8h-9h)
Hall do Interlegis</t>
    </r>
  </si>
  <si>
    <r>
      <t xml:space="preserve">21/08/2024
</t>
    </r>
    <r>
      <rPr>
        <sz val="9"/>
        <rFont val="Arial"/>
        <family val="2"/>
      </rPr>
      <t>Tarde ( h)
Hall do Interlegis</t>
    </r>
  </si>
  <si>
    <r>
      <t xml:space="preserve">22/08/2024
</t>
    </r>
    <r>
      <rPr>
        <sz val="9"/>
        <rFont val="Arial"/>
        <family val="2"/>
      </rPr>
      <t>Manhã ( h)
Hall do Interlegis</t>
    </r>
  </si>
  <si>
    <r>
      <t xml:space="preserve">22/08/2024
</t>
    </r>
    <r>
      <rPr>
        <sz val="9"/>
        <rFont val="Arial"/>
        <family val="2"/>
      </rPr>
      <t>Tarde ( h)
Hall do Interlegis</t>
    </r>
  </si>
  <si>
    <r>
      <t xml:space="preserve">23/08/2024
</t>
    </r>
    <r>
      <rPr>
        <sz val="9"/>
        <rFont val="Arial"/>
        <family val="2"/>
      </rPr>
      <t>Manhã ( h)
Hall do Interlegis</t>
    </r>
  </si>
  <si>
    <r>
      <t xml:space="preserve">23/08/2024
</t>
    </r>
    <r>
      <rPr>
        <sz val="9"/>
        <rFont val="Arial"/>
        <family val="2"/>
      </rPr>
      <t>Tarde (17h)
Restaurante dos Senadores</t>
    </r>
  </si>
  <si>
    <r>
      <t xml:space="preserve">06/11/2024
</t>
    </r>
    <r>
      <rPr>
        <sz val="9"/>
        <rFont val="Arial"/>
        <family val="2"/>
      </rPr>
      <t>15h30 - 18h30</t>
    </r>
  </si>
  <si>
    <r>
      <t xml:space="preserve">07/11/2024
</t>
    </r>
    <r>
      <rPr>
        <sz val="9"/>
        <rFont val="Arial"/>
        <family val="2"/>
      </rPr>
      <t>14h - 18h</t>
    </r>
  </si>
  <si>
    <r>
      <t xml:space="preserve">08/11/2024
</t>
    </r>
    <r>
      <rPr>
        <sz val="9"/>
        <rFont val="Arial"/>
        <family val="2"/>
      </rPr>
      <t>09h30 - 13h00</t>
    </r>
  </si>
  <si>
    <r>
      <t xml:space="preserve">06/11/2024
</t>
    </r>
    <r>
      <rPr>
        <sz val="9"/>
        <rFont val="Arial"/>
        <family val="2"/>
      </rPr>
      <t>18h30 - 21h30</t>
    </r>
  </si>
  <si>
    <r>
      <t xml:space="preserve">07/11/2024
</t>
    </r>
    <r>
      <rPr>
        <sz val="9"/>
        <rFont val="Arial"/>
        <family val="2"/>
      </rPr>
      <t>10h</t>
    </r>
  </si>
  <si>
    <r>
      <t xml:space="preserve">05/11/2024
</t>
    </r>
    <r>
      <rPr>
        <sz val="9"/>
        <rFont val="Arial"/>
        <family val="2"/>
      </rPr>
      <t>15h</t>
    </r>
  </si>
  <si>
    <r>
      <t xml:space="preserve">13/11/2024
</t>
    </r>
    <r>
      <rPr>
        <sz val="9"/>
        <rFont val="Arial"/>
        <family val="2"/>
      </rPr>
      <t>18h</t>
    </r>
  </si>
  <si>
    <r>
      <t xml:space="preserve">13/11/2024
</t>
    </r>
    <r>
      <rPr>
        <sz val="9"/>
        <rFont val="Arial"/>
        <family val="2"/>
      </rPr>
      <t>18h30</t>
    </r>
  </si>
  <si>
    <r>
      <t xml:space="preserve">27/11/2024
</t>
    </r>
    <r>
      <rPr>
        <sz val="9"/>
        <rFont val="Arial"/>
        <family val="2"/>
      </rPr>
      <t>14h</t>
    </r>
  </si>
  <si>
    <r>
      <t xml:space="preserve">26/11/2024
</t>
    </r>
    <r>
      <rPr>
        <sz val="9"/>
        <rFont val="Arial"/>
        <family val="2"/>
      </rPr>
      <t>10h30</t>
    </r>
  </si>
  <si>
    <r>
      <t xml:space="preserve">02/12/2024
</t>
    </r>
    <r>
      <rPr>
        <sz val="10"/>
        <rFont val="Arial"/>
        <family val="2"/>
      </rPr>
      <t>9h às 12h</t>
    </r>
  </si>
  <si>
    <r>
      <t xml:space="preserve">02/12/2024
</t>
    </r>
    <r>
      <rPr>
        <sz val="10"/>
        <rFont val="Arial"/>
        <family val="2"/>
      </rPr>
      <t>14h às 17h30</t>
    </r>
  </si>
  <si>
    <r>
      <t xml:space="preserve">03/12/2024
</t>
    </r>
    <r>
      <rPr>
        <sz val="9"/>
        <rFont val="Arial"/>
        <family val="2"/>
      </rPr>
      <t>9h</t>
    </r>
  </si>
  <si>
    <r>
      <t xml:space="preserve">03/12/2024
</t>
    </r>
    <r>
      <rPr>
        <sz val="9"/>
        <rFont val="Arial"/>
        <family val="2"/>
      </rPr>
      <t>16h30</t>
    </r>
  </si>
  <si>
    <r>
      <t xml:space="preserve">04/12/2024
</t>
    </r>
    <r>
      <rPr>
        <sz val="9"/>
        <rFont val="Arial"/>
        <family val="2"/>
      </rPr>
      <t>10h</t>
    </r>
  </si>
  <si>
    <r>
      <t xml:space="preserve">03/12/2024
</t>
    </r>
    <r>
      <rPr>
        <sz val="9"/>
        <rFont val="Arial"/>
        <family val="2"/>
      </rPr>
      <t>10h (manhã)</t>
    </r>
  </si>
  <si>
    <r>
      <t xml:space="preserve">03/12/2024
</t>
    </r>
    <r>
      <rPr>
        <sz val="9"/>
        <rFont val="Arial"/>
        <family val="2"/>
      </rPr>
      <t>16h30 (tarde)</t>
    </r>
  </si>
  <si>
    <r>
      <t xml:space="preserve">04/12/2024
</t>
    </r>
    <r>
      <rPr>
        <sz val="9"/>
        <rFont val="Arial"/>
        <family val="2"/>
      </rPr>
      <t>10h (manhã)</t>
    </r>
  </si>
  <si>
    <r>
      <t xml:space="preserve">03/12/2024
</t>
    </r>
    <r>
      <rPr>
        <sz val="9"/>
        <rFont val="Arial"/>
        <family val="2"/>
      </rPr>
      <t>19h (a confirmar o dia)</t>
    </r>
  </si>
  <si>
    <r>
      <t xml:space="preserve">09/12/2024
</t>
    </r>
    <r>
      <rPr>
        <sz val="9"/>
        <rFont val="Arial"/>
        <family val="2"/>
      </rPr>
      <t>14h30 - 16h30</t>
    </r>
  </si>
  <si>
    <r>
      <t xml:space="preserve">16/12/2024
</t>
    </r>
    <r>
      <rPr>
        <sz val="9"/>
        <rFont val="Arial"/>
        <family val="2"/>
      </rPr>
      <t>18h30</t>
    </r>
  </si>
  <si>
    <r>
      <t xml:space="preserve">01/02/2025
</t>
    </r>
    <r>
      <rPr>
        <sz val="9"/>
        <rFont val="Arial"/>
        <family val="2"/>
      </rPr>
      <t>10h</t>
    </r>
  </si>
  <si>
    <r>
      <t xml:space="preserve">03/02/2025
</t>
    </r>
    <r>
      <rPr>
        <sz val="9"/>
        <rFont val="Arial"/>
        <family val="2"/>
      </rPr>
      <t>13h15</t>
    </r>
  </si>
  <si>
    <r>
      <t xml:space="preserve">24/03/2025
</t>
    </r>
    <r>
      <rPr>
        <sz val="9"/>
        <rFont val="Arial"/>
        <family val="2"/>
      </rPr>
      <t xml:space="preserve">9h </t>
    </r>
  </si>
  <si>
    <r>
      <t xml:space="preserve">24/03/2025
</t>
    </r>
    <r>
      <rPr>
        <sz val="9"/>
        <rFont val="Arial"/>
        <family val="2"/>
      </rPr>
      <t>17h</t>
    </r>
  </si>
  <si>
    <r>
      <t xml:space="preserve">13/05/2025
</t>
    </r>
    <r>
      <rPr>
        <sz val="9"/>
        <rFont val="Arial"/>
        <family val="2"/>
      </rPr>
      <t>15h</t>
    </r>
  </si>
  <si>
    <r>
      <t xml:space="preserve">26/05/2025
</t>
    </r>
    <r>
      <rPr>
        <sz val="9"/>
        <rFont val="Arial"/>
        <family val="2"/>
      </rPr>
      <t>14h30 às 16h30</t>
    </r>
  </si>
  <si>
    <r>
      <t xml:space="preserve">27/05/2025
</t>
    </r>
    <r>
      <rPr>
        <sz val="9"/>
        <rFont val="Arial"/>
        <family val="2"/>
      </rPr>
      <t>17h</t>
    </r>
  </si>
  <si>
    <r>
      <t xml:space="preserve">02/06/2025
</t>
    </r>
    <r>
      <rPr>
        <sz val="9"/>
        <rFont val="Arial"/>
        <family val="2"/>
      </rPr>
      <t>18h30 - 19h</t>
    </r>
  </si>
  <si>
    <r>
      <t xml:space="preserve">02/06/2025
</t>
    </r>
    <r>
      <rPr>
        <sz val="9"/>
        <rFont val="Arial"/>
        <family val="2"/>
      </rPr>
      <t>19h - 21h</t>
    </r>
  </si>
  <si>
    <r>
      <t xml:space="preserve">02/06/2025
</t>
    </r>
    <r>
      <rPr>
        <sz val="9"/>
        <rFont val="Arial"/>
        <family val="2"/>
      </rPr>
      <t>18h30</t>
    </r>
  </si>
  <si>
    <r>
      <t xml:space="preserve">03/06/2025
</t>
    </r>
    <r>
      <rPr>
        <sz val="9"/>
        <rFont val="Arial"/>
        <family val="2"/>
      </rPr>
      <t>9h</t>
    </r>
  </si>
  <si>
    <r>
      <t xml:space="preserve">03/06/2025
</t>
    </r>
    <r>
      <rPr>
        <sz val="9"/>
        <rFont val="Arial"/>
        <family val="2"/>
      </rPr>
      <t>9h, 10h, 15h30, 16h30</t>
    </r>
  </si>
  <si>
    <r>
      <t xml:space="preserve">03/06/2025
</t>
    </r>
    <r>
      <rPr>
        <sz val="9"/>
        <rFont val="Arial"/>
        <family val="2"/>
      </rPr>
      <t>17h - 19h</t>
    </r>
  </si>
  <si>
    <r>
      <t xml:space="preserve">04/06/2025
</t>
    </r>
    <r>
      <rPr>
        <sz val="9"/>
        <rFont val="Arial"/>
        <family val="2"/>
      </rPr>
      <t>8h30</t>
    </r>
  </si>
  <si>
    <r>
      <t xml:space="preserve">04/06/2025
</t>
    </r>
    <r>
      <rPr>
        <sz val="9"/>
        <rFont val="Arial"/>
        <family val="2"/>
      </rPr>
      <t>8h30 - 10h30</t>
    </r>
  </si>
  <si>
    <r>
      <t xml:space="preserve">04/06/2025
</t>
    </r>
    <r>
      <rPr>
        <sz val="9"/>
        <rFont val="Arial"/>
        <family val="2"/>
      </rPr>
      <t>10h30, 11h30, 14h, 15h30</t>
    </r>
  </si>
  <si>
    <r>
      <t xml:space="preserve">04/06/2025
</t>
    </r>
    <r>
      <rPr>
        <sz val="9"/>
        <rFont val="Arial"/>
        <family val="2"/>
      </rPr>
      <t>10h30, 14h</t>
    </r>
  </si>
  <si>
    <r>
      <t xml:space="preserve">04/06/2025
</t>
    </r>
    <r>
      <rPr>
        <sz val="9"/>
        <rFont val="Arial"/>
        <family val="2"/>
      </rPr>
      <t>9h</t>
    </r>
  </si>
  <si>
    <r>
      <t xml:space="preserve">04/06/2025
</t>
    </r>
    <r>
      <rPr>
        <sz val="9"/>
        <rFont val="Arial"/>
        <family val="2"/>
      </rPr>
      <t>14h, 16h</t>
    </r>
  </si>
  <si>
    <r>
      <t xml:space="preserve">04/06/2025
</t>
    </r>
    <r>
      <rPr>
        <sz val="9"/>
        <rFont val="Arial"/>
        <family val="2"/>
      </rPr>
      <t>12h, 14h, 16h</t>
    </r>
  </si>
  <si>
    <r>
      <t xml:space="preserve">05/06/2025
</t>
    </r>
    <r>
      <rPr>
        <sz val="9"/>
        <rFont val="Arial"/>
        <family val="2"/>
      </rPr>
      <t>9h, 10h30, 14h, 15h30</t>
    </r>
  </si>
  <si>
    <r>
      <t xml:space="preserve">05/06/2025
</t>
    </r>
    <r>
      <rPr>
        <sz val="9"/>
        <rFont val="Arial"/>
        <family val="2"/>
      </rPr>
      <t>9h, 14h</t>
    </r>
  </si>
  <si>
    <r>
      <t xml:space="preserve">05/06/2025
</t>
    </r>
    <r>
      <rPr>
        <sz val="9"/>
        <rFont val="Arial"/>
        <family val="2"/>
      </rPr>
      <t>8h</t>
    </r>
  </si>
  <si>
    <r>
      <t xml:space="preserve">05/06/2025
</t>
    </r>
    <r>
      <rPr>
        <sz val="9"/>
        <rFont val="Arial"/>
        <family val="2"/>
      </rPr>
      <t>9h, 10h30, 14h, 16h</t>
    </r>
  </si>
  <si>
    <r>
      <t xml:space="preserve">05/06/2025
</t>
    </r>
    <r>
      <rPr>
        <sz val="9"/>
        <rFont val="Arial"/>
        <family val="2"/>
      </rPr>
      <t>14h
Sala da CCJ</t>
    </r>
  </si>
  <si>
    <r>
      <t xml:space="preserve">10/06/2025
</t>
    </r>
    <r>
      <rPr>
        <sz val="9"/>
        <rFont val="Arial"/>
        <family val="2"/>
      </rPr>
      <t>8h às 10h
Restaurante dos Senadores</t>
    </r>
  </si>
  <si>
    <r>
      <t xml:space="preserve">13/08/2025
</t>
    </r>
    <r>
      <rPr>
        <sz val="9"/>
        <rFont val="Arial"/>
        <family val="2"/>
      </rPr>
      <t>13h
CDH: Ala Sen. Nilo Coelho, sala 4A</t>
    </r>
  </si>
  <si>
    <r>
      <t xml:space="preserve">21/08/2025
</t>
    </r>
    <r>
      <rPr>
        <sz val="8"/>
        <rFont val="Arial"/>
        <family val="2"/>
      </rPr>
      <t>10h
Plenário do Senado Federal</t>
    </r>
  </si>
  <si>
    <r>
      <t xml:space="preserve">10/09/2025
</t>
    </r>
    <r>
      <rPr>
        <u/>
        <sz val="9"/>
        <rFont val="Arial"/>
        <family val="2"/>
      </rPr>
      <t xml:space="preserve">manhã
</t>
    </r>
    <r>
      <rPr>
        <sz val="9"/>
        <rFont val="Arial"/>
        <family val="2"/>
      </rPr>
      <t>Auditório Interlegis</t>
    </r>
  </si>
  <si>
    <r>
      <t xml:space="preserve">16/09/2025
</t>
    </r>
    <r>
      <rPr>
        <sz val="8"/>
        <rFont val="Arial"/>
        <family val="2"/>
      </rPr>
      <t>18h30
Biblioteca do Senado Federal</t>
    </r>
  </si>
  <si>
    <r>
      <t xml:space="preserve">24/09/2025
</t>
    </r>
    <r>
      <rPr>
        <sz val="8"/>
        <rFont val="Arial"/>
        <family val="2"/>
      </rPr>
      <t>10h00
ISC/ TCU</t>
    </r>
  </si>
  <si>
    <r>
      <t xml:space="preserve">24/09/2025
</t>
    </r>
    <r>
      <rPr>
        <sz val="8"/>
        <rFont val="Arial"/>
        <family val="2"/>
      </rPr>
      <t>12h00
Restaurante dos Senadores</t>
    </r>
  </si>
  <si>
    <r>
      <t xml:space="preserve">24/09/2025
</t>
    </r>
    <r>
      <rPr>
        <sz val="8"/>
        <rFont val="Arial"/>
        <family val="2"/>
      </rPr>
      <t>15h00
ISC/ TCU</t>
    </r>
  </si>
  <si>
    <r>
      <t xml:space="preserve">25/09/2025
</t>
    </r>
    <r>
      <rPr>
        <sz val="8"/>
        <rFont val="Arial"/>
        <family val="2"/>
      </rPr>
      <t>12h00
Restaurante dos Senadores</t>
    </r>
  </si>
  <si>
    <r>
      <t xml:space="preserve">25/09/2025
</t>
    </r>
    <r>
      <rPr>
        <sz val="8"/>
        <rFont val="Arial"/>
        <family val="2"/>
      </rPr>
      <t>15h30
ISC/ TCU</t>
    </r>
  </si>
  <si>
    <r>
      <t xml:space="preserve">25/09/2025
</t>
    </r>
    <r>
      <rPr>
        <sz val="8"/>
        <rFont val="Arial"/>
        <family val="2"/>
      </rPr>
      <t>17h30
Salão Negro</t>
    </r>
  </si>
  <si>
    <r>
      <t xml:space="preserve">26/09/2025
</t>
    </r>
    <r>
      <rPr>
        <sz val="8"/>
        <rFont val="Arial"/>
        <family val="2"/>
      </rPr>
      <t>10h30
ISC/TCU</t>
    </r>
  </si>
  <si>
    <r>
      <t xml:space="preserve">26/09/2025
</t>
    </r>
    <r>
      <rPr>
        <sz val="8"/>
        <rFont val="Arial"/>
        <family val="2"/>
      </rPr>
      <t>12h00
Restaurante dos Senadores</t>
    </r>
  </si>
  <si>
    <r>
      <t xml:space="preserve">26/09/2025
</t>
    </r>
    <r>
      <rPr>
        <sz val="8"/>
        <rFont val="Arial"/>
        <family val="2"/>
      </rPr>
      <t>16h10
ISC/TCU</t>
    </r>
  </si>
  <si>
    <r>
      <t xml:space="preserve">10/10/2025
</t>
    </r>
    <r>
      <rPr>
        <sz val="10"/>
        <rFont val="Arial"/>
        <family val="2"/>
      </rPr>
      <t>09h30 e 15h30</t>
    </r>
  </si>
  <si>
    <r>
      <t xml:space="preserve">14/10/2025
</t>
    </r>
    <r>
      <rPr>
        <sz val="10"/>
        <rFont val="Arial"/>
        <family val="2"/>
      </rPr>
      <t>09h às 10h30</t>
    </r>
  </si>
  <si>
    <r>
      <t xml:space="preserve">21/10/2025
</t>
    </r>
    <r>
      <rPr>
        <sz val="10"/>
        <rFont val="Arial"/>
        <family val="2"/>
      </rPr>
      <t>8h às 10h
Restaurante dos Senadores</t>
    </r>
  </si>
  <si>
    <r>
      <t xml:space="preserve">22/10/2025
</t>
    </r>
    <r>
      <rPr>
        <sz val="10"/>
        <rFont val="Arial"/>
        <family val="2"/>
      </rPr>
      <t>8h às 10h
Restaurante dos Senadores</t>
    </r>
  </si>
  <si>
    <r>
      <t xml:space="preserve">24/10/2025
</t>
    </r>
    <r>
      <rPr>
        <sz val="10"/>
        <rFont val="Arial"/>
        <family val="2"/>
      </rPr>
      <t>16h45
Restaurante dos Senadores</t>
    </r>
  </si>
  <si>
    <r>
      <t xml:space="preserve">22/10/2025
</t>
    </r>
    <r>
      <rPr>
        <sz val="10"/>
        <rFont val="Arial"/>
        <family val="2"/>
      </rPr>
      <t>16h10
Memorial da COVID</t>
    </r>
  </si>
  <si>
    <r>
      <t xml:space="preserve">28/10/2025
</t>
    </r>
    <r>
      <rPr>
        <sz val="10"/>
        <rFont val="Arial"/>
        <family val="2"/>
      </rPr>
      <t>17h às 19h
Restaurante dos Senadores</t>
    </r>
  </si>
  <si>
    <r>
      <t xml:space="preserve">29/10/2025
</t>
    </r>
    <r>
      <rPr>
        <sz val="10"/>
        <rFont val="Arial"/>
        <family val="2"/>
      </rPr>
      <t>14h
Plenário do Senado Federal</t>
    </r>
  </si>
  <si>
    <r>
      <t xml:space="preserve">04/11/2025
</t>
    </r>
    <r>
      <rPr>
        <sz val="10"/>
        <rFont val="Arial"/>
        <family val="2"/>
      </rPr>
      <t>12h
Auditório Senador Antônio Carlos Magalhães</t>
    </r>
  </si>
  <si>
    <r>
      <t xml:space="preserve">17/11/2025
</t>
    </r>
    <r>
      <rPr>
        <sz val="10"/>
        <rFont val="Arial"/>
        <family val="2"/>
      </rPr>
      <t>10h
Plenário do Senado Federal</t>
    </r>
  </si>
  <si>
    <r>
      <t xml:space="preserve">09/12/2025
</t>
    </r>
    <r>
      <rPr>
        <sz val="10"/>
        <rFont val="Arial"/>
        <family val="2"/>
      </rPr>
      <t>8h30 às 13h
Ed. Ronaldo Cunha Lima</t>
    </r>
  </si>
  <si>
    <r>
      <t xml:space="preserve">09/12/2025
</t>
    </r>
    <r>
      <rPr>
        <sz val="10"/>
        <rFont val="Arial"/>
        <family val="2"/>
      </rPr>
      <t>8h30 às 13h</t>
    </r>
  </si>
  <si>
    <r>
      <t xml:space="preserve">09/12/2025
</t>
    </r>
    <r>
      <rPr>
        <sz val="10"/>
        <rFont val="Arial"/>
        <family val="2"/>
      </rPr>
      <t>12h
Restaurante dos Senadores</t>
    </r>
  </si>
  <si>
    <r>
      <t xml:space="preserve">25/02/2026
</t>
    </r>
    <r>
      <rPr>
        <sz val="10"/>
        <rFont val="Arial"/>
        <family val="2"/>
      </rPr>
      <t>10h, 16h e 18h</t>
    </r>
  </si>
  <si>
    <r>
      <t xml:space="preserve">26/02/2026
</t>
    </r>
    <r>
      <rPr>
        <sz val="10"/>
        <rFont val="Arial"/>
        <family val="2"/>
      </rPr>
      <t>10h, 16h e 18h</t>
    </r>
  </si>
  <si>
    <r>
      <t xml:space="preserve">27/02/2026
</t>
    </r>
    <r>
      <rPr>
        <sz val="10"/>
        <rFont val="Arial"/>
        <family val="2"/>
      </rPr>
      <t>10h, 16h e 18h</t>
    </r>
  </si>
  <si>
    <r>
      <t xml:space="preserve">02/03/2026
</t>
    </r>
    <r>
      <rPr>
        <sz val="10"/>
        <rFont val="Arial"/>
        <family val="2"/>
      </rPr>
      <t>10h, 16h e 18h</t>
    </r>
  </si>
  <si>
    <r>
      <t xml:space="preserve">03/03/2026
</t>
    </r>
    <r>
      <rPr>
        <sz val="10"/>
        <rFont val="Arial"/>
        <family val="2"/>
      </rPr>
      <t>10h, 16h e 18h</t>
    </r>
  </si>
  <si>
    <r>
      <t xml:space="preserve">04/03/2026
</t>
    </r>
    <r>
      <rPr>
        <sz val="10"/>
        <rFont val="Arial"/>
        <family val="2"/>
      </rPr>
      <t>10h, 16h e 18h</t>
    </r>
  </si>
  <si>
    <r>
      <t xml:space="preserve">11/03/2026
</t>
    </r>
    <r>
      <rPr>
        <sz val="10"/>
        <rFont val="Arial"/>
        <family val="2"/>
      </rPr>
      <t>18h30
Biblioteca do Senado Federal</t>
    </r>
  </si>
  <si>
    <r>
      <t xml:space="preserve">27/03/2026
</t>
    </r>
    <r>
      <rPr>
        <sz val="11"/>
        <rFont val="Arial"/>
        <family val="2"/>
      </rPr>
      <t>16h30
Interlegis</t>
    </r>
  </si>
  <si>
    <r>
      <rPr>
        <strike/>
        <sz val="12"/>
        <rFont val="Arial"/>
        <family val="2"/>
      </rPr>
      <t>41185, 41186, 41187, 41188</t>
    </r>
    <r>
      <rPr>
        <sz val="12"/>
        <rFont val="Arial"/>
        <family val="2"/>
      </rPr>
      <t xml:space="preserve">
41240</t>
    </r>
  </si>
  <si>
    <r>
      <t xml:space="preserve">11/06/2025
</t>
    </r>
    <r>
      <rPr>
        <sz val="9"/>
        <rFont val="Arial"/>
        <family val="2"/>
      </rPr>
      <t>10h
Auditório do ILB</t>
    </r>
  </si>
  <si>
    <r>
      <t xml:space="preserve">13/06/2025
</t>
    </r>
    <r>
      <rPr>
        <sz val="9"/>
        <rFont val="Arial"/>
        <family val="2"/>
      </rPr>
      <t>10h
 Plenário 3 das Comissões</t>
    </r>
  </si>
  <si>
    <r>
      <t xml:space="preserve">03/07/2025
</t>
    </r>
    <r>
      <rPr>
        <sz val="9"/>
        <rFont val="Arial"/>
        <family val="2"/>
      </rPr>
      <t>10h30
Auditório do ILB</t>
    </r>
  </si>
  <si>
    <r>
      <t xml:space="preserve">03/07/2025
</t>
    </r>
    <r>
      <rPr>
        <sz val="9"/>
        <rFont val="Arial"/>
        <family val="2"/>
      </rPr>
      <t>14h
Auditório do ILB</t>
    </r>
  </si>
  <si>
    <r>
      <t xml:space="preserve">02/07/2025
</t>
    </r>
    <r>
      <rPr>
        <sz val="9"/>
        <rFont val="Arial"/>
        <family val="2"/>
      </rPr>
      <t>15h00
Mezanino Espaço do Servidor</t>
    </r>
  </si>
  <si>
    <r>
      <t xml:space="preserve">03/07/2025
</t>
    </r>
    <r>
      <rPr>
        <sz val="9"/>
        <rFont val="Arial"/>
        <family val="2"/>
      </rPr>
      <t>15h00
Mezanino Espaço do Servidor</t>
    </r>
  </si>
  <si>
    <r>
      <t xml:space="preserve">06/08/2025
</t>
    </r>
    <r>
      <rPr>
        <sz val="9"/>
        <rFont val="Arial"/>
        <family val="2"/>
      </rPr>
      <t>13h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 xml:space="preserve">CDH: Ala Sen. Nilo Coelho, sala 4A </t>
    </r>
  </si>
  <si>
    <r>
      <t xml:space="preserve">12/08/2025
</t>
    </r>
    <r>
      <rPr>
        <sz val="9"/>
        <rFont val="Arial"/>
        <family val="2"/>
      </rPr>
      <t>13h</t>
    </r>
    <r>
      <rPr>
        <sz val="12"/>
        <rFont val="Arial"/>
        <family val="2"/>
      </rPr>
      <t xml:space="preserve">
</t>
    </r>
    <r>
      <rPr>
        <sz val="9"/>
        <rFont val="Arial"/>
        <family val="2"/>
      </rPr>
      <t>CDH: Ala Sen. Nilo Coelho, sala 4A</t>
    </r>
  </si>
  <si>
    <r>
      <t xml:space="preserve">20/08/2025
</t>
    </r>
    <r>
      <rPr>
        <sz val="9"/>
        <rFont val="Arial"/>
        <family val="2"/>
      </rPr>
      <t>19h
Salão Negro</t>
    </r>
  </si>
  <si>
    <r>
      <t xml:space="preserve">18/08/2025
</t>
    </r>
    <r>
      <rPr>
        <sz val="9"/>
        <rFont val="Arial"/>
        <family val="2"/>
      </rPr>
      <t>16h30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Comissão</t>
    </r>
  </si>
  <si>
    <r>
      <t xml:space="preserve">18/08/2025
</t>
    </r>
    <r>
      <rPr>
        <sz val="9"/>
        <rFont val="Arial"/>
        <family val="2"/>
      </rPr>
      <t>16h30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Auditótio Interlegis</t>
    </r>
  </si>
  <si>
    <r>
      <t xml:space="preserve">19/08/2025
</t>
    </r>
    <r>
      <rPr>
        <sz val="9"/>
        <rFont val="Arial"/>
        <family val="2"/>
      </rPr>
      <t>16h15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Comissão</t>
    </r>
  </si>
  <si>
    <r>
      <t xml:space="preserve">19/08/2025
</t>
    </r>
    <r>
      <rPr>
        <sz val="9"/>
        <rFont val="Arial"/>
        <family val="2"/>
      </rPr>
      <t>16h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ILB</t>
    </r>
  </si>
  <si>
    <r>
      <t xml:space="preserve">20/08/2025
</t>
    </r>
    <r>
      <rPr>
        <sz val="9"/>
        <rFont val="Arial"/>
        <family val="2"/>
      </rPr>
      <t>16h15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Comissão</t>
    </r>
  </si>
  <si>
    <r>
      <t xml:space="preserve">20/08/2025
</t>
    </r>
    <r>
      <rPr>
        <sz val="9"/>
        <rFont val="Arial"/>
        <family val="2"/>
      </rPr>
      <t>16h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ILB</t>
    </r>
  </si>
  <si>
    <r>
      <t xml:space="preserve">21/08/2025
</t>
    </r>
    <r>
      <rPr>
        <sz val="9"/>
        <rFont val="Arial"/>
        <family val="2"/>
      </rPr>
      <t>16h15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Comissão</t>
    </r>
  </si>
  <si>
    <r>
      <t xml:space="preserve">21/08/2025
</t>
    </r>
    <r>
      <rPr>
        <sz val="9"/>
        <rFont val="Arial"/>
        <family val="2"/>
      </rPr>
      <t>16h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ILB</t>
    </r>
  </si>
  <si>
    <t>22/08/2025
15h</t>
  </si>
  <si>
    <r>
      <t xml:space="preserve">14/08/2025
</t>
    </r>
    <r>
      <rPr>
        <sz val="9"/>
        <rFont val="Arial"/>
        <family val="2"/>
      </rPr>
      <t>09h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>Sala de Reuniões da DGER</t>
    </r>
  </si>
  <si>
    <r>
      <t xml:space="preserve">14/08/2025
</t>
    </r>
    <r>
      <rPr>
        <sz val="9"/>
        <rFont val="Arial"/>
        <family val="2"/>
      </rPr>
      <t>16h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>SETRAN</t>
    </r>
  </si>
  <si>
    <r>
      <t xml:space="preserve">14/08/2025
</t>
    </r>
    <r>
      <rPr>
        <sz val="9"/>
        <rFont val="Arial"/>
        <family val="2"/>
      </rPr>
      <t>12h10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>Restaurante dos Senadores</t>
    </r>
  </si>
  <si>
    <r>
      <t xml:space="preserve">09/09/2025
</t>
    </r>
    <r>
      <rPr>
        <u/>
        <sz val="9"/>
        <rFont val="Arial"/>
        <family val="2"/>
      </rPr>
      <t>manhã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>Auditório Interlegis</t>
    </r>
  </si>
  <si>
    <r>
      <t xml:space="preserve">09/09/2025
</t>
    </r>
    <r>
      <rPr>
        <u/>
        <sz val="9"/>
        <rFont val="Arial"/>
        <family val="2"/>
      </rPr>
      <t>tarde</t>
    </r>
    <r>
      <rPr>
        <sz val="12"/>
        <rFont val="Arial"/>
        <family val="2"/>
      </rPr>
      <t xml:space="preserve">
</t>
    </r>
    <r>
      <rPr>
        <sz val="8"/>
        <rFont val="Arial"/>
        <family val="2"/>
      </rPr>
      <t>Auditório Interlegis</t>
    </r>
  </si>
  <si>
    <r>
      <rPr>
        <u/>
        <sz val="12"/>
        <rFont val="Arial"/>
        <family val="2"/>
      </rPr>
      <t xml:space="preserve">10/09/2025
</t>
    </r>
    <r>
      <rPr>
        <u/>
        <sz val="9"/>
        <rFont val="Arial"/>
        <family val="2"/>
      </rPr>
      <t xml:space="preserve">tarde
</t>
    </r>
    <r>
      <rPr>
        <sz val="9"/>
        <rFont val="Arial"/>
        <family val="2"/>
      </rPr>
      <t>Auditório Interlegis</t>
    </r>
  </si>
  <si>
    <r>
      <t xml:space="preserve">06/10/2025
</t>
    </r>
    <r>
      <rPr>
        <sz val="10"/>
        <rFont val="Arial"/>
        <family val="2"/>
      </rPr>
      <t xml:space="preserve">10h
</t>
    </r>
    <r>
      <rPr>
        <sz val="8"/>
        <rFont val="Arial"/>
        <family val="2"/>
      </rPr>
      <t>Plenário do SF</t>
    </r>
  </si>
  <si>
    <r>
      <t xml:space="preserve">25/09/2025
</t>
    </r>
    <r>
      <rPr>
        <sz val="10"/>
        <rFont val="Arial"/>
        <family val="2"/>
      </rPr>
      <t xml:space="preserve">20h
</t>
    </r>
  </si>
  <si>
    <r>
      <t xml:space="preserve">14/10/2025
</t>
    </r>
    <r>
      <rPr>
        <sz val="10"/>
        <rFont val="Arial"/>
        <family val="2"/>
      </rPr>
      <t>manhã 10h30
Salão Negro</t>
    </r>
  </si>
  <si>
    <r>
      <t xml:space="preserve">14/10/2025
</t>
    </r>
    <r>
      <rPr>
        <sz val="10"/>
        <rFont val="Arial"/>
        <family val="2"/>
      </rPr>
      <t>tarde</t>
    </r>
    <r>
      <rPr>
        <sz val="12"/>
        <rFont val="Arial"/>
        <family val="2"/>
      </rPr>
      <t xml:space="preserve"> </t>
    </r>
    <r>
      <rPr>
        <sz val="10"/>
        <rFont val="Arial"/>
        <family val="2"/>
      </rPr>
      <t>15h30</t>
    </r>
    <r>
      <rPr>
        <sz val="12"/>
        <rFont val="Arial"/>
        <family val="2"/>
      </rPr>
      <t xml:space="preserve">
</t>
    </r>
    <r>
      <rPr>
        <sz val="10"/>
        <rFont val="Arial"/>
        <family val="2"/>
      </rPr>
      <t>Salão Negro</t>
    </r>
  </si>
  <si>
    <r>
      <t xml:space="preserve">15/10/2025
</t>
    </r>
    <r>
      <rPr>
        <sz val="10"/>
        <rFont val="Arial"/>
        <family val="2"/>
      </rPr>
      <t>19h</t>
    </r>
    <r>
      <rPr>
        <sz val="12"/>
        <rFont val="Arial"/>
        <family val="2"/>
      </rPr>
      <t xml:space="preserve">
</t>
    </r>
    <r>
      <rPr>
        <sz val="10"/>
        <rFont val="Arial"/>
        <family val="2"/>
      </rPr>
      <t>Biblioteca</t>
    </r>
  </si>
  <si>
    <r>
      <t xml:space="preserve">16/10/2025
</t>
    </r>
    <r>
      <rPr>
        <sz val="10"/>
        <rFont val="Arial"/>
        <family val="2"/>
      </rPr>
      <t>10h
Mezanino do Espaço do Servidor</t>
    </r>
  </si>
  <si>
    <r>
      <t xml:space="preserve">23/10/2025
</t>
    </r>
    <r>
      <rPr>
        <sz val="10"/>
        <rFont val="Arial"/>
        <family val="2"/>
      </rPr>
      <t>10h15 (manhã)
Memorial da COVID</t>
    </r>
  </si>
  <si>
    <r>
      <t xml:space="preserve">23/10/2025
</t>
    </r>
    <r>
      <rPr>
        <sz val="10"/>
        <rFont val="Arial"/>
        <family val="2"/>
      </rPr>
      <t>16h15 (tarde)
Memorial da COVID</t>
    </r>
  </si>
  <si>
    <r>
      <t xml:space="preserve">24/10/2025
 </t>
    </r>
    <r>
      <rPr>
        <sz val="10"/>
        <rFont val="Arial"/>
        <family val="2"/>
      </rPr>
      <t>9h50
Memorial da COVID</t>
    </r>
  </si>
  <si>
    <t>26/11/2025
16:50h
Interlegis</t>
  </si>
  <si>
    <r>
      <t xml:space="preserve">02/12/2025
a
05/12/2025
</t>
    </r>
    <r>
      <rPr>
        <sz val="10"/>
        <rFont val="Arial"/>
        <family val="2"/>
      </rPr>
      <t>10h e 15h</t>
    </r>
  </si>
  <si>
    <r>
      <t xml:space="preserve">09/12/2025
</t>
    </r>
    <r>
      <rPr>
        <sz val="10"/>
        <rFont val="Arial"/>
        <family val="2"/>
      </rPr>
      <t>13h às 18h</t>
    </r>
  </si>
  <si>
    <r>
      <t xml:space="preserve">09/12/2025
</t>
    </r>
    <r>
      <rPr>
        <sz val="10"/>
        <rFont val="Arial"/>
        <family val="2"/>
      </rPr>
      <t>13h às 18h
Ed. Ronaldo Cunha Lima</t>
    </r>
  </si>
  <si>
    <r>
      <t xml:space="preserve">09/02/2026
</t>
    </r>
    <r>
      <rPr>
        <sz val="10"/>
        <rFont val="Arial"/>
        <family val="2"/>
      </rPr>
      <t>9h, 16h e 18h</t>
    </r>
  </si>
  <si>
    <r>
      <t xml:space="preserve">10/02/2026
</t>
    </r>
    <r>
      <rPr>
        <sz val="10"/>
        <rFont val="Arial"/>
        <family val="2"/>
      </rPr>
      <t>9h, 16h e 18h</t>
    </r>
  </si>
  <si>
    <r>
      <t xml:space="preserve">11/02/2026
</t>
    </r>
    <r>
      <rPr>
        <sz val="10"/>
        <rFont val="Arial"/>
        <family val="2"/>
      </rPr>
      <t>10h, 16h e 18h</t>
    </r>
  </si>
  <si>
    <r>
      <t xml:space="preserve">12/02/2026
</t>
    </r>
    <r>
      <rPr>
        <sz val="10"/>
        <rFont val="Arial"/>
        <family val="2"/>
      </rPr>
      <t>10h, 16h e 18h</t>
    </r>
  </si>
  <si>
    <r>
      <t xml:space="preserve">13/02/2026
</t>
    </r>
    <r>
      <rPr>
        <sz val="10"/>
        <rFont val="Arial"/>
        <family val="2"/>
      </rPr>
      <t>10h, 16h e 18h</t>
    </r>
  </si>
  <si>
    <r>
      <t xml:space="preserve">19/02/2026
</t>
    </r>
    <r>
      <rPr>
        <sz val="10"/>
        <rFont val="Arial"/>
        <family val="2"/>
      </rPr>
      <t>10h, 16h e 18h</t>
    </r>
  </si>
  <si>
    <r>
      <t xml:space="preserve">20/02/2026
</t>
    </r>
    <r>
      <rPr>
        <sz val="10"/>
        <rFont val="Arial"/>
        <family val="2"/>
      </rPr>
      <t>10h, 16h e 18h</t>
    </r>
  </si>
  <si>
    <r>
      <t xml:space="preserve">23/02/2026
</t>
    </r>
    <r>
      <rPr>
        <sz val="10"/>
        <rFont val="Arial"/>
        <family val="2"/>
      </rPr>
      <t>10h, 16h e 18h</t>
    </r>
  </si>
  <si>
    <r>
      <t xml:space="preserve">24/02/2026
</t>
    </r>
    <r>
      <rPr>
        <sz val="10"/>
        <rFont val="Arial"/>
        <family val="2"/>
      </rPr>
      <t>10h, 16h e 18h</t>
    </r>
  </si>
  <si>
    <r>
      <t xml:space="preserve">02/02/2026
</t>
    </r>
    <r>
      <rPr>
        <sz val="10"/>
        <rFont val="Arial"/>
        <family val="2"/>
      </rPr>
      <t>Manhã</t>
    </r>
  </si>
  <si>
    <r>
      <t>10/03/2026
09</t>
    </r>
    <r>
      <rPr>
        <sz val="10"/>
        <rFont val="Arial"/>
        <family val="2"/>
      </rPr>
      <t>h30 às 11h30
Sala de reunião do bloco de apoio nº 16</t>
    </r>
  </si>
  <si>
    <t>Hall do Interlegis</t>
  </si>
  <si>
    <t>Restaurante dos Senadores</t>
  </si>
  <si>
    <t>Auditório Petrônio Portella</t>
  </si>
  <si>
    <t>Salão Negro</t>
  </si>
  <si>
    <t>Viveiro do Senado Federal</t>
  </si>
  <si>
    <t>Salão Negro e Biblioteca</t>
  </si>
  <si>
    <t>Mezanino do Espaço do Servidor</t>
  </si>
  <si>
    <t>TCU</t>
  </si>
  <si>
    <t>Ala Alexandre Costa - Salas</t>
  </si>
  <si>
    <t>Ala Alexandre Costa - Corredor</t>
  </si>
  <si>
    <t>Auditório Antônio Carlos Magalhães</t>
  </si>
  <si>
    <t>Auditório do Interlegis</t>
  </si>
  <si>
    <t>Hall do Edifício Sen. Ronaldo Cunha Lima</t>
  </si>
  <si>
    <t>Biblioteca do Senado</t>
  </si>
  <si>
    <t>Salão Verde</t>
  </si>
  <si>
    <t>Salas de Comissão</t>
  </si>
  <si>
    <t>Salão Nobre</t>
  </si>
  <si>
    <t>Café do Plenário</t>
  </si>
  <si>
    <t>Plenário</t>
  </si>
  <si>
    <t>Sala da CCJ</t>
  </si>
  <si>
    <t>Auditório do ILB</t>
  </si>
  <si>
    <t>Plenário das 3 Comissões</t>
  </si>
  <si>
    <t>Ala Sen. Nilo Coelho, sala 4A</t>
  </si>
  <si>
    <t>Auditório Interlegis</t>
  </si>
  <si>
    <t>Sala de Reuniões da DGER</t>
  </si>
  <si>
    <t>SETRAN</t>
  </si>
  <si>
    <t>Memorial da COVID</t>
  </si>
  <si>
    <t>Interlegis</t>
  </si>
  <si>
    <t>Edifício Sen. Ronaldo Cunha Lima</t>
  </si>
  <si>
    <t>Sala de Reunião do bloco de apoio n° 16</t>
  </si>
  <si>
    <t>ID_ITEM</t>
  </si>
  <si>
    <t>DAT_ENVIO_SENAC</t>
  </si>
  <si>
    <t>DAT_ENVIO_CARDAPIO</t>
  </si>
  <si>
    <t>DAT_APROVACAO_CARDAPIO</t>
  </si>
  <si>
    <t>DAT_PEDIDO_ATESTE</t>
  </si>
  <si>
    <t>DAT_ATESTE</t>
  </si>
  <si>
    <t>FATURA</t>
  </si>
  <si>
    <t>PROV_PAGAMENTO</t>
  </si>
  <si>
    <t>STATUS_FATURA</t>
  </si>
  <si>
    <t>OBS</t>
  </si>
  <si>
    <r>
      <t xml:space="preserve">- </t>
    </r>
    <r>
      <rPr>
        <b/>
        <sz val="11"/>
        <color theme="1"/>
        <rFont val="Arial"/>
        <family val="2"/>
      </rPr>
      <t>Autorização DGER:</t>
    </r>
    <r>
      <rPr>
        <sz val="11"/>
        <color theme="1"/>
        <rFont val="Arial"/>
        <family val="2"/>
      </rPr>
      <t xml:space="preserve"> 00100.042839/2026-34
- </t>
    </r>
    <r>
      <rPr>
        <b/>
        <sz val="11"/>
        <color theme="1"/>
        <rFont val="Arial"/>
        <family val="2"/>
      </rPr>
      <t>Ateste:</t>
    </r>
    <r>
      <rPr>
        <sz val="11"/>
        <color theme="1"/>
        <rFont val="Arial"/>
        <family val="2"/>
      </rPr>
      <t xml:space="preserve"> 00100.042847/2026-81
- </t>
    </r>
    <r>
      <rPr>
        <b/>
        <sz val="11"/>
        <color theme="1"/>
        <rFont val="Arial"/>
        <family val="2"/>
      </rPr>
      <t xml:space="preserve">NF: </t>
    </r>
    <r>
      <rPr>
        <sz val="11"/>
        <color theme="1"/>
        <rFont val="Arial"/>
        <family val="2"/>
      </rPr>
      <t xml:space="preserve">00100.042855/2026-27
- </t>
    </r>
    <r>
      <rPr>
        <b/>
        <sz val="11"/>
        <color theme="1"/>
        <rFont val="Arial"/>
        <family val="2"/>
      </rPr>
      <t>Solicitação de pagamento:</t>
    </r>
    <r>
      <rPr>
        <sz val="11"/>
        <color theme="1"/>
        <rFont val="Arial"/>
        <family val="2"/>
      </rPr>
      <t xml:space="preserve"> 00100.044598/2026-68
- </t>
    </r>
    <r>
      <rPr>
        <b/>
        <sz val="11"/>
        <color theme="1"/>
        <rFont val="Arial"/>
        <family val="2"/>
      </rPr>
      <t>Pagamento:</t>
    </r>
    <r>
      <rPr>
        <sz val="11"/>
        <color theme="1"/>
        <rFont val="Arial"/>
        <family val="2"/>
      </rPr>
      <t xml:space="preserve"> 00100.044598/2026-68
- </t>
    </r>
    <r>
      <rPr>
        <b/>
        <sz val="11"/>
        <color theme="1"/>
        <rFont val="Arial"/>
        <family val="2"/>
      </rPr>
      <t>CRG:</t>
    </r>
    <r>
      <rPr>
        <sz val="11"/>
        <color theme="1"/>
        <rFont val="Arial"/>
        <family val="2"/>
      </rPr>
      <t xml:space="preserve"> 00100.044598/2026-68</t>
    </r>
  </si>
  <si>
    <t>- Autorização DGER: 00100.191559/2025-78;
- Ateste: 0100.206304/2025-17-1
- NF:0100.206304/2025-17
- Solicitação de pagamento: 00100.210856/2025-20
- Pagamento: 00100.211485/2025-01
- CRG: 00100.213524/2025-06</t>
  </si>
  <si>
    <t>- Autorização DGER: 00100.191559/2025-78;
- Ateste: 0100.206304/2025-17-1
- NF:0100.206304/2025-17
- Solicitação de pagamento: 00100.210856/2025-20
- Pagamento: 00100.211485/2025-01
- CRG: 00100.213524/2025-07</t>
  </si>
  <si>
    <t>- Autorização DGER: 00100.191559/2025-78;
- Ateste: 0100.206304/2025-17-1
- NF:0100.206304/2025-17
- Solicitação de pagamento: 00100.210856/2025-20
- Pagamento: 00100.211485/2025-01
- CRG: 00100.213524/2025-08</t>
  </si>
  <si>
    <t>- Autorização DGER: 00100.191559/2025-78;
- Ateste: 0100.206304/2025-17-1
- NF:0100.206304/2025-17
- Solicitação de pagamento: 00100.210856/2025-20
- Pagamento: 00100.211485/2025-01
- CRG: 00100.213524/2025-09</t>
  </si>
  <si>
    <t>- Autorização DGER: 00100.191559/2025-78;
- Ateste: 0100.206304/2025-17-1
- NF:0100.206304/2025-17
- Solicitação de pagamento: 00100.210856/2025-20
- Pagamento: 00100.211485/2025-01
- CRG: 00100.213524/2025-10</t>
  </si>
  <si>
    <t>- Autorização DGER: 00100.191559/2025-78;
- Ateste: 0100.206304/2025-17-1
- NF:0100.206304/2025-17
- Solicitação de pagamento: 00100.210856/2025-20
- Pagamento: 00100.211485/2025-01
- CRG: 00100.213524/2025-11</t>
  </si>
  <si>
    <t>- Autorização DGER: 00100.226751/2025-92
- Ateste: 00100.240274/2025-78
- NF: 00100.240276/2025-67
- Solicitação de pagamento: 00100.243610/2025-34
- Pagamento: 00100.243610/2025-34
- CRG: 00100.243610/2025-35</t>
  </si>
  <si>
    <t>- Autorização DGER: 00100.241004/2025-84
- Ateste: 00100.241014/2025-10
- NF: 00100.241019/2025-42
- Solicitação de pagamento: 00100.243740/2025-77
- Pagamento: 00100.243740/2025-77
- CRG: 00100.243740/2025-78</t>
  </si>
  <si>
    <t>- Autorização DGER: 00100.241004/2025-84
- Ateste: 00100.241014/2025-10
- NF: 00100.241019/2025-42
- Solicitação de pagamento: 00100.243740/2025-77
- Pagamento: 00100.243740/2025-77
- CRG: 00100.243740/2025-79</t>
  </si>
  <si>
    <t>- Autorização DGER: 00100.241004/2025-84
- Ateste: 00100.241014/2025-10
- NF: 00100.241019/2025-42
- Solicitação de pagamento: 00100.243740/2025-77
- Pagamento: 00100.243740/2025-77
- CRG: 00100.243740/2025-80</t>
  </si>
  <si>
    <t>- Autorização DGER: 00100.241004/2025-84
- Ateste: 00100.241014/2025-10
- NF: 00100.241019/2025-42
- Solicitação de pagamento: 00100.243740/2025-77
- Pagamento: 00100.243740/2025-77
- CRG: 00100.243740/2025-81</t>
  </si>
  <si>
    <t>- Autorização DGER: 00100.241004/2025-84
- Ateste: 00100.241014/2025-10
- NF: 00100.241019/2025-42
- Solicitação de pagamento: 00100.243740/2025-77
- Pagamento: 00100.243740/2025-77
- CRG: 00100.243740/2025-82</t>
  </si>
  <si>
    <t>- Autorização DGER: 00100.241004/2025-84
- Ateste: 00100.241014/2025-10
- NF: 00100.241019/2025-42
- Solicitação de pagamento: 00100.243740/2025-77
- Pagamento: 00100.243740/2025-77
- CRG: 00100.243740/2025-83</t>
  </si>
  <si>
    <t>VALOR_ITEM</t>
  </si>
  <si>
    <t>DAT_SERVICO</t>
  </si>
  <si>
    <r>
      <t xml:space="preserve">1/12/2025
</t>
    </r>
    <r>
      <rPr>
        <sz val="9"/>
        <rFont val="Arial"/>
        <family val="2"/>
      </rPr>
      <t>10h30</t>
    </r>
  </si>
  <si>
    <r>
      <t xml:space="preserve">01/03/2026
</t>
    </r>
    <r>
      <rPr>
        <sz val="11"/>
        <rFont val="Arial"/>
        <family val="2"/>
      </rPr>
      <t>17h às 18h</t>
    </r>
  </si>
  <si>
    <t>Serviço de Gestão de Estágios Luiz Fernando</t>
  </si>
  <si>
    <t>Encontro com os estagiários</t>
  </si>
  <si>
    <t>Oficina de Kokedama em celebração ao Dia das Mães</t>
  </si>
  <si>
    <t>Coordenação do Programa Interlegis e Relações Institucionais</t>
  </si>
  <si>
    <t>COINTER</t>
  </si>
  <si>
    <t>16°EnGITEC</t>
  </si>
  <si>
    <t>Lançamento da Coletânea José Sarney - Três Romances</t>
  </si>
  <si>
    <t>Rede Equidade Coordenadoria da Rede Equidade</t>
  </si>
  <si>
    <t>Lançamento do Plano de ação 2026 - 2028 Catálogo de Boas Práticas e Glossário de Diversidade</t>
  </si>
  <si>
    <t>2ªReunião de Oficiais Parlamentares de Orçamento da OCDE</t>
  </si>
  <si>
    <t>Lançamento da edição comemorativa do Regimento Interno e do Regimento Comum em celebração aos 80 anos da SGM</t>
  </si>
  <si>
    <t>Sala das Comissões</t>
  </si>
  <si>
    <t>Ala Alexandre Costa</t>
  </si>
  <si>
    <t>Restaurante do 10° andar do Anexo IV da Câmara dos Deputados</t>
  </si>
  <si>
    <t>Serviço de Qualidade de Vida no Trabalho</t>
  </si>
  <si>
    <t>Núcleo de Coordenação de Ações de Responsabilidades Sociais</t>
  </si>
  <si>
    <t>SEQVIT</t>
  </si>
  <si>
    <t>Capacitação em prevenção ao assédio e a outras formas de violência no ambiente de trabalho</t>
  </si>
  <si>
    <t>Troca de figurinhas da Copa 2026</t>
  </si>
  <si>
    <t>Mês da Sustentabilidade</t>
  </si>
  <si>
    <t>Faturado</t>
  </si>
  <si>
    <t>IND_PENDENTE</t>
  </si>
  <si>
    <t>S</t>
  </si>
  <si>
    <t>DAT_CRIACAO</t>
  </si>
  <si>
    <t>IND_ANALISADO</t>
  </si>
  <si>
    <t>IND_FEEDBACK</t>
  </si>
  <si>
    <t>IND_SENAC</t>
  </si>
  <si>
    <t>N</t>
  </si>
  <si>
    <r>
      <t xml:space="preserve">Comissão de Direitos Humanos  e Legislação Participativa
</t>
    </r>
    <r>
      <rPr>
        <i/>
        <sz val="11"/>
        <color theme="1"/>
        <rFont val="Arial"/>
        <family val="2"/>
      </rPr>
      <t>(Contato: Kamila Moura - ramal 2005)</t>
    </r>
  </si>
  <si>
    <t>Audiência pública para discutissão sobre a atenção integral às pessoas com fissura labiopalatina no Brasil</t>
  </si>
  <si>
    <r>
      <t xml:space="preserve">Comissão de Direitos Humanos e Legislação Participativa
</t>
    </r>
    <r>
      <rPr>
        <i/>
        <sz val="11"/>
        <color theme="1"/>
        <rFont val="Arial"/>
        <family val="2"/>
      </rPr>
      <t>(Contato: Kamila Moura - ramal 2005 ou 4646)</t>
    </r>
  </si>
  <si>
    <t>Audiência Pública para debater os Impactos do Projeto de Lei nº 411/2024</t>
  </si>
  <si>
    <r>
      <t xml:space="preserve">Advocacia do Senado Federal
</t>
    </r>
    <r>
      <rPr>
        <i/>
        <sz val="11"/>
        <color theme="1"/>
        <rFont val="Arial"/>
        <family val="2"/>
      </rPr>
      <t>(Contato: Germana - 
ramal 4750)</t>
    </r>
  </si>
  <si>
    <t xml:space="preserve"> Curso de Redação Jurídica</t>
  </si>
  <si>
    <r>
      <t xml:space="preserve">Assessoria de comunicação 
</t>
    </r>
    <r>
      <rPr>
        <i/>
        <sz val="11"/>
        <color theme="1"/>
        <rFont val="Arial"/>
        <family val="2"/>
      </rPr>
      <t>(Contatol: Márcia Yamaguti - 
ramal 2107)</t>
    </r>
  </si>
  <si>
    <t>Circuito Saúde 2026</t>
  </si>
  <si>
    <t>Secretaria de Relações 
Públicas</t>
  </si>
  <si>
    <t>Cerimônia de Posse dos Novos Servidores e Programa de Integração 
dos Novos Servidores do Senado Federal</t>
  </si>
  <si>
    <r>
      <t xml:space="preserve">Secretaria de Relações Públicas
</t>
    </r>
    <r>
      <rPr>
        <i/>
        <sz val="11"/>
        <color theme="1"/>
        <rFont val="Arial"/>
        <family val="2"/>
      </rPr>
      <t>(Contato: Juliana Borges - ramal 3388)</t>
    </r>
  </si>
  <si>
    <t>Lançamento do Programa Conexão Lilás</t>
  </si>
  <si>
    <t>Audiência Pública para debater sobre 
o  Dia Mundial contra o Trabalho Infantil, celebrado em 12 de junho</t>
  </si>
  <si>
    <t>Auditório Senado Antônio Carlos Magalhães</t>
  </si>
  <si>
    <t>IND_EXCECAO</t>
  </si>
  <si>
    <t>Secretaria de Relações Públicas (Contato: Juliana Borges - ramal 3388)</t>
  </si>
  <si>
    <t>Semana de Vivência 
Legislativa do Programa Jovem Senador</t>
  </si>
  <si>
    <t>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</si>
</sst>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9"/>
      <name val="Arial"/>
      <family val="2"/>
    </font>
    <font>
      <strike/>
      <sz val="12"/>
      <name val="Arial"/>
      <family val="2"/>
    </font>
    <font>
      <i/>
      <sz val="10"/>
      <name val="Arial"/>
      <family val="2"/>
    </font>
    <font>
      <u/>
      <sz val="12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E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7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0" fillId="0" borderId="5" xfId="0" applyBorder="1"/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4" fontId="11" fillId="2" borderId="2" xfId="0" applyNumberFormat="1" applyFont="1" applyFill="1" applyBorder="1" applyAlignment="1" applyProtection="1">
      <alignment vertical="center" wrapText="1"/>
      <protection locked="0"/>
    </xf>
    <xf numFmtId="14" fontId="11" fillId="2" borderId="1" xfId="0" applyNumberFormat="1" applyFont="1" applyFill="1" applyBorder="1" applyAlignment="1" applyProtection="1">
      <alignment vertical="center" wrapText="1"/>
      <protection locked="0"/>
    </xf>
    <xf numFmtId="0" fontId="4" fillId="2" borderId="5" xfId="0" quotePrefix="1" applyFont="1" applyFill="1" applyBorder="1" applyAlignment="1">
      <alignment horizontal="left" vertical="center" wrapText="1"/>
    </xf>
    <xf numFmtId="14" fontId="12" fillId="2" borderId="4" xfId="0" applyNumberFormat="1" applyFont="1" applyFill="1" applyBorder="1" applyAlignment="1" applyProtection="1">
      <alignment vertical="center" wrapText="1"/>
      <protection locked="0"/>
    </xf>
    <xf numFmtId="0" fontId="4" fillId="2" borderId="12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14" fontId="11" fillId="2" borderId="5" xfId="0" applyNumberFormat="1" applyFont="1" applyFill="1" applyBorder="1" applyAlignment="1" applyProtection="1">
      <alignment vertical="center" wrapText="1"/>
      <protection locked="0"/>
    </xf>
    <xf numFmtId="14" fontId="4" fillId="2" borderId="4" xfId="0" applyNumberFormat="1" applyFont="1" applyFill="1" applyBorder="1" applyAlignment="1">
      <alignment vertical="center" wrapText="1"/>
    </xf>
    <xf numFmtId="14" fontId="11" fillId="2" borderId="5" xfId="0" applyNumberFormat="1" applyFont="1" applyFill="1" applyBorder="1" applyAlignment="1">
      <alignment vertical="center" wrapText="1"/>
    </xf>
    <xf numFmtId="14" fontId="4" fillId="2" borderId="5" xfId="0" applyNumberFormat="1" applyFont="1" applyFill="1" applyBorder="1" applyAlignment="1">
      <alignment vertical="center" wrapText="1"/>
    </xf>
    <xf numFmtId="14" fontId="11" fillId="2" borderId="2" xfId="0" applyNumberFormat="1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11" fillId="2" borderId="4" xfId="0" applyNumberFormat="1" applyFont="1" applyFill="1" applyBorder="1" applyAlignment="1" applyProtection="1">
      <alignment vertical="center" wrapText="1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14" fontId="11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>
      <alignment vertical="center"/>
    </xf>
    <xf numFmtId="14" fontId="11" fillId="0" borderId="5" xfId="0" applyNumberFormat="1" applyFont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14" fontId="11" fillId="0" borderId="5" xfId="0" applyNumberFormat="1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14" fontId="4" fillId="2" borderId="0" xfId="0" applyNumberFormat="1" applyFont="1" applyFill="1" applyAlignment="1">
      <alignment vertical="center" wrapText="1"/>
    </xf>
    <xf numFmtId="0" fontId="4" fillId="2" borderId="1" xfId="0" quotePrefix="1" applyFont="1" applyFill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0" quotePrefix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4" fontId="11" fillId="2" borderId="7" xfId="0" applyNumberFormat="1" applyFont="1" applyFill="1" applyBorder="1" applyAlignment="1">
      <alignment vertical="center"/>
    </xf>
    <xf numFmtId="4" fontId="11" fillId="2" borderId="8" xfId="0" applyNumberFormat="1" applyFont="1" applyFill="1" applyBorder="1" applyAlignment="1">
      <alignment vertical="center"/>
    </xf>
    <xf numFmtId="4" fontId="11" fillId="2" borderId="8" xfId="0" applyNumberFormat="1" applyFont="1" applyFill="1" applyBorder="1" applyAlignment="1">
      <alignment horizontal="center" vertical="center"/>
    </xf>
    <xf numFmtId="4" fontId="11" fillId="2" borderId="6" xfId="0" applyNumberFormat="1" applyFont="1" applyFill="1" applyBorder="1" applyAlignment="1">
      <alignment horizontal="center" vertical="center"/>
    </xf>
    <xf numFmtId="4" fontId="11" fillId="0" borderId="8" xfId="0" applyNumberFormat="1" applyFont="1" applyBorder="1" applyAlignment="1">
      <alignment vertical="center"/>
    </xf>
    <xf numFmtId="4" fontId="11" fillId="0" borderId="8" xfId="0" applyNumberFormat="1" applyFont="1" applyBorder="1" applyAlignment="1">
      <alignment horizontal="center" vertical="center"/>
    </xf>
    <xf numFmtId="4" fontId="11" fillId="2" borderId="6" xfId="0" applyNumberFormat="1" applyFont="1" applyFill="1" applyBorder="1" applyAlignment="1">
      <alignment vertical="center"/>
    </xf>
    <xf numFmtId="4" fontId="11" fillId="2" borderId="5" xfId="0" applyNumberFormat="1" applyFont="1" applyFill="1" applyBorder="1" applyAlignment="1">
      <alignment horizontal="left" vertical="center"/>
    </xf>
    <xf numFmtId="4" fontId="11" fillId="0" borderId="5" xfId="0" applyNumberFormat="1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0" fontId="4" fillId="2" borderId="4" xfId="0" quotePrefix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left" vertical="center" wrapText="1"/>
    </xf>
    <xf numFmtId="14" fontId="4" fillId="2" borderId="4" xfId="0" quotePrefix="1" applyNumberFormat="1" applyFont="1" applyFill="1" applyBorder="1" applyAlignment="1">
      <alignment horizontal="left" vertical="center" wrapText="1"/>
    </xf>
    <xf numFmtId="14" fontId="11" fillId="2" borderId="5" xfId="0" applyNumberFormat="1" applyFont="1" applyFill="1" applyBorder="1" applyAlignment="1">
      <alignment horizontal="left" vertical="center"/>
    </xf>
    <xf numFmtId="14" fontId="11" fillId="2" borderId="4" xfId="0" applyNumberFormat="1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 wrapText="1"/>
    </xf>
    <xf numFmtId="14" fontId="11" fillId="2" borderId="2" xfId="0" applyNumberFormat="1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/>
    </xf>
    <xf numFmtId="14" fontId="11" fillId="0" borderId="5" xfId="0" applyNumberFormat="1" applyFont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14" fontId="11" fillId="2" borderId="1" xfId="0" applyNumberFormat="1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/>
    </xf>
    <xf numFmtId="14" fontId="11" fillId="2" borderId="4" xfId="0" applyNumberFormat="1" applyFont="1" applyFill="1" applyBorder="1" applyAlignment="1">
      <alignment horizontal="left" vertical="center" wrapText="1"/>
    </xf>
    <xf numFmtId="14" fontId="11" fillId="2" borderId="1" xfId="0" applyNumberFormat="1" applyFont="1" applyFill="1" applyBorder="1" applyAlignment="1">
      <alignment horizontal="left" vertical="center" wrapText="1"/>
    </xf>
    <xf numFmtId="14" fontId="11" fillId="2" borderId="2" xfId="0" applyNumberFormat="1" applyFont="1" applyFill="1" applyBorder="1" applyAlignment="1">
      <alignment horizontal="left" vertical="center" wrapText="1"/>
    </xf>
    <xf numFmtId="0" fontId="1" fillId="2" borderId="5" xfId="0" quotePrefix="1" applyFont="1" applyFill="1" applyBorder="1" applyAlignment="1">
      <alignment horizontal="left" vertical="center" wrapText="1"/>
    </xf>
    <xf numFmtId="164" fontId="11" fillId="2" borderId="15" xfId="0" applyNumberFormat="1" applyFont="1" applyFill="1" applyBorder="1" applyAlignment="1">
      <alignment horizontal="left" vertical="center"/>
    </xf>
    <xf numFmtId="164" fontId="11" fillId="2" borderId="10" xfId="0" applyNumberFormat="1" applyFont="1" applyFill="1" applyBorder="1" applyAlignment="1">
      <alignment horizontal="left" vertical="center"/>
    </xf>
    <xf numFmtId="164" fontId="11" fillId="2" borderId="14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 wrapText="1"/>
    </xf>
    <xf numFmtId="164" fontId="4" fillId="2" borderId="10" xfId="0" applyNumberFormat="1" applyFont="1" applyFill="1" applyBorder="1" applyAlignment="1">
      <alignment horizontal="left" vertical="center"/>
    </xf>
    <xf numFmtId="164" fontId="4" fillId="0" borderId="14" xfId="0" applyNumberFormat="1" applyFont="1" applyBorder="1" applyAlignment="1">
      <alignment horizontal="left" vertical="center" wrapText="1"/>
    </xf>
    <xf numFmtId="164" fontId="11" fillId="2" borderId="14" xfId="0" applyNumberFormat="1" applyFont="1" applyFill="1" applyBorder="1" applyAlignment="1">
      <alignment horizontal="left" vertical="center" wrapText="1"/>
    </xf>
    <xf numFmtId="164" fontId="11" fillId="0" borderId="14" xfId="0" applyNumberFormat="1" applyFont="1" applyBorder="1" applyAlignment="1">
      <alignment horizontal="left" vertical="center"/>
    </xf>
    <xf numFmtId="164" fontId="11" fillId="2" borderId="3" xfId="0" applyNumberFormat="1" applyFont="1" applyFill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164" fontId="4" fillId="2" borderId="5" xfId="0" applyNumberFormat="1" applyFont="1" applyFill="1" applyBorder="1" applyAlignment="1">
      <alignment horizontal="left" vertical="center" wrapText="1"/>
    </xf>
    <xf numFmtId="164" fontId="4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left" vertical="center"/>
    </xf>
    <xf numFmtId="164" fontId="11" fillId="2" borderId="4" xfId="0" applyNumberFormat="1" applyFont="1" applyFill="1" applyBorder="1" applyAlignment="1">
      <alignment horizontal="left" vertical="center"/>
    </xf>
    <xf numFmtId="164" fontId="11" fillId="2" borderId="2" xfId="0" applyNumberFormat="1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164" fontId="11" fillId="0" borderId="5" xfId="0" applyNumberFormat="1" applyFont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11" fillId="2" borderId="8" xfId="0" applyNumberFormat="1" applyFont="1" applyFill="1" applyBorder="1" applyAlignment="1">
      <alignment horizontal="left" vertical="center"/>
    </xf>
    <xf numFmtId="164" fontId="4" fillId="0" borderId="8" xfId="0" applyNumberFormat="1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14" fontId="21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21" fillId="2" borderId="4" xfId="0" applyNumberFormat="1" applyFont="1" applyFill="1" applyBorder="1" applyAlignment="1" applyProtection="1">
      <alignment horizontal="center" vertical="center" wrapText="1"/>
      <protection locked="0"/>
    </xf>
    <xf numFmtId="14" fontId="21" fillId="2" borderId="5" xfId="0" applyNumberFormat="1" applyFont="1" applyFill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14" fontId="22" fillId="2" borderId="5" xfId="0" applyNumberFormat="1" applyFont="1" applyFill="1" applyBorder="1" applyAlignment="1">
      <alignment horizontal="center" vertical="center"/>
    </xf>
    <xf numFmtId="164" fontId="22" fillId="2" borderId="4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vertical="center"/>
    </xf>
    <xf numFmtId="0" fontId="23" fillId="2" borderId="2" xfId="0" applyFont="1" applyFill="1" applyBorder="1" applyAlignment="1">
      <alignment vertical="center"/>
    </xf>
    <xf numFmtId="164" fontId="22" fillId="2" borderId="0" xfId="0" applyNumberFormat="1" applyFont="1" applyFill="1" applyAlignment="1">
      <alignment horizontal="center" vertical="center"/>
    </xf>
    <xf numFmtId="164" fontId="22" fillId="2" borderId="5" xfId="0" applyNumberFormat="1" applyFont="1" applyFill="1" applyBorder="1" applyAlignment="1">
      <alignment horizontal="center" vertical="center"/>
    </xf>
    <xf numFmtId="164" fontId="22" fillId="2" borderId="5" xfId="0" applyNumberFormat="1" applyFont="1" applyFill="1" applyBorder="1" applyAlignment="1">
      <alignment horizontal="center" vertical="center" wrapText="1"/>
    </xf>
    <xf numFmtId="164" fontId="22" fillId="2" borderId="4" xfId="0" applyNumberFormat="1" applyFont="1" applyFill="1" applyBorder="1" applyAlignment="1">
      <alignment horizontal="center" vertical="center"/>
    </xf>
    <xf numFmtId="164" fontId="22" fillId="2" borderId="8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4" fillId="2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4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4" fontId="11" fillId="2" borderId="5" xfId="0" applyNumberFormat="1" applyFont="1" applyFill="1" applyBorder="1" applyAlignment="1">
      <alignment horizontal="center" vertical="center"/>
    </xf>
    <xf numFmtId="0" fontId="0" fillId="2" borderId="5" xfId="0" applyFill="1" applyBorder="1"/>
  </cellXfs>
  <cellStyles count="1">
    <cellStyle name="Normal" xfId="0" builtinId="0"/>
  </cellStyles>
  <dxfs count="13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SEQUALOG\01-%20GEST&#195;O%20DE%20CONTRATOS\01.09%20-%20SENAC%20-%20BUFFET%20115.2024%20-%20CONTRATO%20ATUAL\PLANILHA%20DE%20CONTROLE\2026\Planilha%20CONTROLE%20BUFFET%20(CT%200115-2025-2026)%20NOVA%20CONTRATA&#199;&#195;O%20ATUAL.xlsx" TargetMode="External"/><Relationship Id="rId1" Type="http://schemas.openxmlformats.org/officeDocument/2006/relationships/externalLinkPath" Target="file:///Z:\SEQUALOG\01-%20GEST&#195;O%20DE%20CONTRATOS\01.09%20-%20SENAC%20-%20BUFFET%20115.2024%20-%20CONTRATO%20ATUAL\PLANILHA%20DE%20CONTROLE\2026\Planilha%20CONTROLE%20BUFFET%20(CT%200115-2025-2026)%20NOVA%20CONTRATA&#199;&#195;O%20AT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 Geral"/>
      <sheetName val="Solicitações"/>
      <sheetName val="Descrições"/>
      <sheetName val="Consolidado"/>
    </sheetNames>
    <sheetDataSet>
      <sheetData sheetId="0">
        <row r="11">
          <cell r="M11" t="str">
            <v>Valor (R$)</v>
          </cell>
        </row>
        <row r="12">
          <cell r="M12">
            <v>100.23</v>
          </cell>
        </row>
        <row r="13">
          <cell r="M13">
            <v>84.93</v>
          </cell>
        </row>
        <row r="14">
          <cell r="M14">
            <v>102.33</v>
          </cell>
        </row>
        <row r="15">
          <cell r="M15">
            <v>132.15</v>
          </cell>
        </row>
        <row r="16">
          <cell r="M16">
            <v>47.84</v>
          </cell>
        </row>
        <row r="17">
          <cell r="M17">
            <v>37.380000000000003</v>
          </cell>
        </row>
        <row r="18">
          <cell r="M18">
            <v>37.380000000000003</v>
          </cell>
        </row>
        <row r="19">
          <cell r="M19">
            <v>71.209999999999994</v>
          </cell>
        </row>
        <row r="20">
          <cell r="M20">
            <v>7.48</v>
          </cell>
        </row>
        <row r="21">
          <cell r="M21">
            <v>108.82</v>
          </cell>
        </row>
        <row r="22">
          <cell r="M22">
            <v>16.32</v>
          </cell>
        </row>
        <row r="23">
          <cell r="M23">
            <v>32.65</v>
          </cell>
        </row>
        <row r="24">
          <cell r="M24">
            <v>65.290000000000006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C3D9-DCB6-454C-9CBF-27673072F8EE}">
  <dimension ref="A1:J88"/>
  <sheetViews>
    <sheetView zoomScale="85" zoomScaleNormal="85" workbookViewId="0">
      <selection activeCell="J88" sqref="A1:J88"/>
    </sheetView>
  </sheetViews>
  <sheetFormatPr defaultRowHeight="15" x14ac:dyDescent="0.25"/>
  <cols>
    <col min="2" max="2" width="32.140625" style="16" bestFit="1" customWidth="1"/>
    <col min="3" max="3" width="12" style="16" bestFit="1" customWidth="1"/>
    <col min="4" max="4" width="160.42578125" style="17" bestFit="1" customWidth="1"/>
    <col min="5" max="5" width="14.5703125" bestFit="1" customWidth="1"/>
    <col min="6" max="6" width="13.140625" bestFit="1" customWidth="1"/>
    <col min="7" max="7" width="15.28515625" bestFit="1" customWidth="1"/>
  </cols>
  <sheetData>
    <row r="1" spans="1:10" x14ac:dyDescent="0.25">
      <c r="A1" t="s">
        <v>155</v>
      </c>
      <c r="B1" s="16" t="s">
        <v>153</v>
      </c>
      <c r="C1" s="16" t="s">
        <v>152</v>
      </c>
      <c r="D1" s="17" t="s">
        <v>154</v>
      </c>
      <c r="E1" t="s">
        <v>452</v>
      </c>
      <c r="F1" t="s">
        <v>454</v>
      </c>
      <c r="G1" t="s">
        <v>455</v>
      </c>
      <c r="H1" t="s">
        <v>456</v>
      </c>
      <c r="I1" t="s">
        <v>457</v>
      </c>
      <c r="J1" t="s">
        <v>473</v>
      </c>
    </row>
    <row r="2" spans="1:10" ht="28.5" x14ac:dyDescent="0.25">
      <c r="A2" s="20">
        <v>1</v>
      </c>
      <c r="B2" s="1" t="s">
        <v>38</v>
      </c>
      <c r="C2" s="4" t="s">
        <v>0</v>
      </c>
      <c r="D2" s="13" t="s">
        <v>1</v>
      </c>
      <c r="E2" t="s">
        <v>458</v>
      </c>
      <c r="F2" s="153">
        <v>46191</v>
      </c>
      <c r="G2" t="s">
        <v>453</v>
      </c>
      <c r="H2" t="s">
        <v>453</v>
      </c>
      <c r="I2" t="s">
        <v>453</v>
      </c>
      <c r="J2" t="s">
        <v>458</v>
      </c>
    </row>
    <row r="3" spans="1:10" ht="28.5" x14ac:dyDescent="0.25">
      <c r="A3" s="20">
        <v>2</v>
      </c>
      <c r="B3" s="1" t="s">
        <v>38</v>
      </c>
      <c r="C3" s="4" t="s">
        <v>0</v>
      </c>
      <c r="D3" s="13" t="s">
        <v>2</v>
      </c>
      <c r="E3" t="s">
        <v>458</v>
      </c>
      <c r="F3" s="153">
        <v>46191</v>
      </c>
      <c r="G3" t="s">
        <v>453</v>
      </c>
      <c r="H3" t="s">
        <v>453</v>
      </c>
      <c r="I3" t="s">
        <v>453</v>
      </c>
      <c r="J3" t="s">
        <v>458</v>
      </c>
    </row>
    <row r="4" spans="1:10" ht="28.5" x14ac:dyDescent="0.25">
      <c r="A4" s="20">
        <v>3</v>
      </c>
      <c r="B4" s="1" t="s">
        <v>39</v>
      </c>
      <c r="C4" s="2" t="s">
        <v>3</v>
      </c>
      <c r="D4" s="13" t="s">
        <v>40</v>
      </c>
      <c r="E4" t="s">
        <v>458</v>
      </c>
      <c r="F4" s="153">
        <v>46191</v>
      </c>
      <c r="G4" t="s">
        <v>453</v>
      </c>
      <c r="H4" t="s">
        <v>453</v>
      </c>
      <c r="I4" t="s">
        <v>453</v>
      </c>
      <c r="J4" t="s">
        <v>458</v>
      </c>
    </row>
    <row r="5" spans="1:10" ht="42.75" x14ac:dyDescent="0.25">
      <c r="A5" s="20">
        <v>4</v>
      </c>
      <c r="B5" s="3" t="s">
        <v>41</v>
      </c>
      <c r="C5" s="2" t="s">
        <v>4</v>
      </c>
      <c r="D5" s="12" t="s">
        <v>42</v>
      </c>
      <c r="E5" t="s">
        <v>458</v>
      </c>
      <c r="F5" s="153">
        <v>46191</v>
      </c>
      <c r="G5" t="s">
        <v>453</v>
      </c>
      <c r="H5" t="s">
        <v>453</v>
      </c>
      <c r="I5" t="s">
        <v>453</v>
      </c>
      <c r="J5" t="s">
        <v>458</v>
      </c>
    </row>
    <row r="6" spans="1:10" ht="28.5" x14ac:dyDescent="0.25">
      <c r="A6" s="20">
        <v>5</v>
      </c>
      <c r="B6" s="1" t="s">
        <v>5</v>
      </c>
      <c r="C6" s="4" t="s">
        <v>6</v>
      </c>
      <c r="D6" s="13" t="s">
        <v>43</v>
      </c>
      <c r="E6" t="s">
        <v>458</v>
      </c>
      <c r="F6" s="153">
        <v>46191</v>
      </c>
      <c r="G6" t="s">
        <v>453</v>
      </c>
      <c r="H6" t="s">
        <v>453</v>
      </c>
      <c r="I6" t="s">
        <v>453</v>
      </c>
      <c r="J6" t="s">
        <v>458</v>
      </c>
    </row>
    <row r="7" spans="1:10" ht="28.5" x14ac:dyDescent="0.25">
      <c r="A7" s="20">
        <v>6</v>
      </c>
      <c r="B7" s="1" t="s">
        <v>7</v>
      </c>
      <c r="C7" s="4" t="s">
        <v>8</v>
      </c>
      <c r="D7" s="13" t="s">
        <v>44</v>
      </c>
      <c r="E7" t="s">
        <v>458</v>
      </c>
      <c r="F7" s="153">
        <v>46191</v>
      </c>
      <c r="G7" t="s">
        <v>453</v>
      </c>
      <c r="H7" t="s">
        <v>453</v>
      </c>
      <c r="I7" t="s">
        <v>453</v>
      </c>
      <c r="J7" t="s">
        <v>458</v>
      </c>
    </row>
    <row r="8" spans="1:10" ht="28.5" x14ac:dyDescent="0.25">
      <c r="A8" s="20">
        <v>7</v>
      </c>
      <c r="B8" s="1" t="s">
        <v>7</v>
      </c>
      <c r="C8" s="4" t="s">
        <v>8</v>
      </c>
      <c r="D8" s="13" t="s">
        <v>45</v>
      </c>
      <c r="E8" t="s">
        <v>458</v>
      </c>
      <c r="F8" s="153">
        <v>46191</v>
      </c>
      <c r="G8" t="s">
        <v>453</v>
      </c>
      <c r="H8" t="s">
        <v>453</v>
      </c>
      <c r="I8" t="s">
        <v>453</v>
      </c>
      <c r="J8" t="s">
        <v>458</v>
      </c>
    </row>
    <row r="9" spans="1:10" ht="28.5" x14ac:dyDescent="0.25">
      <c r="A9" s="20">
        <v>8</v>
      </c>
      <c r="B9" s="1" t="s">
        <v>9</v>
      </c>
      <c r="C9" s="4" t="s">
        <v>10</v>
      </c>
      <c r="D9" s="13" t="s">
        <v>46</v>
      </c>
      <c r="E9" t="s">
        <v>458</v>
      </c>
      <c r="F9" s="153">
        <v>46191</v>
      </c>
      <c r="G9" t="s">
        <v>453</v>
      </c>
      <c r="H9" t="s">
        <v>453</v>
      </c>
      <c r="I9" t="s">
        <v>453</v>
      </c>
      <c r="J9" t="s">
        <v>458</v>
      </c>
    </row>
    <row r="10" spans="1:10" ht="28.5" x14ac:dyDescent="0.25">
      <c r="A10" s="20">
        <v>9</v>
      </c>
      <c r="B10" s="1" t="s">
        <v>11</v>
      </c>
      <c r="C10" s="4" t="s">
        <v>12</v>
      </c>
      <c r="D10" s="13" t="s">
        <v>47</v>
      </c>
      <c r="E10" t="s">
        <v>458</v>
      </c>
      <c r="F10" s="153">
        <v>46191</v>
      </c>
      <c r="G10" t="s">
        <v>453</v>
      </c>
      <c r="H10" t="s">
        <v>453</v>
      </c>
      <c r="I10" t="s">
        <v>453</v>
      </c>
      <c r="J10" t="s">
        <v>458</v>
      </c>
    </row>
    <row r="11" spans="1:10" ht="15.75" x14ac:dyDescent="0.25">
      <c r="A11" s="20">
        <v>10</v>
      </c>
      <c r="B11" s="1" t="s">
        <v>13</v>
      </c>
      <c r="C11" s="4" t="s">
        <v>14</v>
      </c>
      <c r="D11" s="13" t="s">
        <v>147</v>
      </c>
      <c r="E11" t="s">
        <v>458</v>
      </c>
      <c r="F11" s="153">
        <v>46191</v>
      </c>
      <c r="G11" t="s">
        <v>453</v>
      </c>
      <c r="H11" t="s">
        <v>453</v>
      </c>
      <c r="I11" t="s">
        <v>453</v>
      </c>
      <c r="J11" t="s">
        <v>458</v>
      </c>
    </row>
    <row r="12" spans="1:10" ht="15.75" x14ac:dyDescent="0.25">
      <c r="A12" s="20">
        <v>11</v>
      </c>
      <c r="B12" s="1" t="s">
        <v>13</v>
      </c>
      <c r="C12" s="4" t="s">
        <v>14</v>
      </c>
      <c r="D12" s="13" t="s">
        <v>148</v>
      </c>
      <c r="E12" t="s">
        <v>458</v>
      </c>
      <c r="F12" s="153">
        <v>46191</v>
      </c>
      <c r="G12" t="s">
        <v>453</v>
      </c>
      <c r="H12" t="s">
        <v>453</v>
      </c>
      <c r="I12" t="s">
        <v>453</v>
      </c>
      <c r="J12" t="s">
        <v>458</v>
      </c>
    </row>
    <row r="13" spans="1:10" ht="28.5" x14ac:dyDescent="0.25">
      <c r="A13" s="20">
        <v>12</v>
      </c>
      <c r="B13" s="1" t="s">
        <v>15</v>
      </c>
      <c r="C13" s="4" t="s">
        <v>16</v>
      </c>
      <c r="D13" s="13" t="s">
        <v>17</v>
      </c>
      <c r="E13" t="s">
        <v>458</v>
      </c>
      <c r="F13" s="153">
        <v>46191</v>
      </c>
      <c r="G13" t="s">
        <v>453</v>
      </c>
      <c r="H13" t="s">
        <v>453</v>
      </c>
      <c r="I13" t="s">
        <v>453</v>
      </c>
      <c r="J13" t="s">
        <v>458</v>
      </c>
    </row>
    <row r="14" spans="1:10" ht="28.5" x14ac:dyDescent="0.25">
      <c r="A14" s="20">
        <v>13</v>
      </c>
      <c r="B14" s="1" t="s">
        <v>13</v>
      </c>
      <c r="C14" s="4" t="s">
        <v>14</v>
      </c>
      <c r="D14" s="13" t="s">
        <v>48</v>
      </c>
      <c r="E14" t="s">
        <v>458</v>
      </c>
      <c r="F14" s="153">
        <v>46191</v>
      </c>
      <c r="G14" t="s">
        <v>453</v>
      </c>
      <c r="H14" t="s">
        <v>453</v>
      </c>
      <c r="I14" t="s">
        <v>453</v>
      </c>
      <c r="J14" t="s">
        <v>458</v>
      </c>
    </row>
    <row r="15" spans="1:10" ht="87" x14ac:dyDescent="0.25">
      <c r="A15" s="20">
        <v>14</v>
      </c>
      <c r="B15" s="1" t="s">
        <v>49</v>
      </c>
      <c r="C15" s="4" t="s">
        <v>18</v>
      </c>
      <c r="D15" s="13" t="s">
        <v>50</v>
      </c>
      <c r="E15" t="s">
        <v>458</v>
      </c>
      <c r="F15" s="153">
        <v>46191</v>
      </c>
      <c r="G15" t="s">
        <v>453</v>
      </c>
      <c r="H15" t="s">
        <v>453</v>
      </c>
      <c r="I15" t="s">
        <v>453</v>
      </c>
      <c r="J15" t="s">
        <v>458</v>
      </c>
    </row>
    <row r="16" spans="1:10" ht="72.75" x14ac:dyDescent="0.25">
      <c r="A16" s="20">
        <v>15</v>
      </c>
      <c r="B16" s="1" t="s">
        <v>51</v>
      </c>
      <c r="C16" s="4" t="s">
        <v>19</v>
      </c>
      <c r="D16" s="13" t="s">
        <v>20</v>
      </c>
      <c r="E16" t="s">
        <v>458</v>
      </c>
      <c r="F16" s="153">
        <v>46191</v>
      </c>
      <c r="G16" t="s">
        <v>453</v>
      </c>
      <c r="H16" t="s">
        <v>453</v>
      </c>
      <c r="I16" t="s">
        <v>453</v>
      </c>
      <c r="J16" t="s">
        <v>458</v>
      </c>
    </row>
    <row r="17" spans="1:10" ht="57.75" x14ac:dyDescent="0.25">
      <c r="A17" s="20">
        <v>16</v>
      </c>
      <c r="B17" s="1" t="s">
        <v>52</v>
      </c>
      <c r="C17" s="4" t="s">
        <v>21</v>
      </c>
      <c r="D17" s="13" t="s">
        <v>53</v>
      </c>
      <c r="E17" t="s">
        <v>458</v>
      </c>
      <c r="F17" s="153">
        <v>46191</v>
      </c>
      <c r="G17" t="s">
        <v>453</v>
      </c>
      <c r="H17" t="s">
        <v>453</v>
      </c>
      <c r="I17" t="s">
        <v>453</v>
      </c>
      <c r="J17" t="s">
        <v>458</v>
      </c>
    </row>
    <row r="18" spans="1:10" ht="57.75" x14ac:dyDescent="0.25">
      <c r="A18" s="20">
        <v>17</v>
      </c>
      <c r="B18" s="1" t="s">
        <v>54</v>
      </c>
      <c r="C18" s="4" t="s">
        <v>22</v>
      </c>
      <c r="D18" s="13" t="s">
        <v>149</v>
      </c>
      <c r="E18" t="s">
        <v>458</v>
      </c>
      <c r="F18" s="153">
        <v>46191</v>
      </c>
      <c r="G18" t="s">
        <v>453</v>
      </c>
      <c r="H18" t="s">
        <v>453</v>
      </c>
      <c r="I18" t="s">
        <v>453</v>
      </c>
      <c r="J18" t="s">
        <v>458</v>
      </c>
    </row>
    <row r="19" spans="1:10" ht="57.75" x14ac:dyDescent="0.25">
      <c r="A19" s="20">
        <v>18</v>
      </c>
      <c r="B19" s="1" t="s">
        <v>54</v>
      </c>
      <c r="C19" s="4" t="s">
        <v>22</v>
      </c>
      <c r="D19" s="13" t="s">
        <v>150</v>
      </c>
      <c r="E19" t="s">
        <v>458</v>
      </c>
      <c r="F19" s="153">
        <v>46191</v>
      </c>
      <c r="G19" t="s">
        <v>453</v>
      </c>
      <c r="H19" t="s">
        <v>453</v>
      </c>
      <c r="I19" t="s">
        <v>453</v>
      </c>
      <c r="J19" t="s">
        <v>458</v>
      </c>
    </row>
    <row r="20" spans="1:10" ht="72.75" x14ac:dyDescent="0.25">
      <c r="A20" s="20">
        <v>19</v>
      </c>
      <c r="B20" s="5" t="s">
        <v>55</v>
      </c>
      <c r="C20" s="4" t="s">
        <v>23</v>
      </c>
      <c r="D20" s="13" t="s">
        <v>56</v>
      </c>
      <c r="E20" t="s">
        <v>458</v>
      </c>
      <c r="F20" s="153">
        <v>46191</v>
      </c>
      <c r="G20" t="s">
        <v>453</v>
      </c>
      <c r="H20" t="s">
        <v>453</v>
      </c>
      <c r="I20" t="s">
        <v>453</v>
      </c>
      <c r="J20" t="s">
        <v>458</v>
      </c>
    </row>
    <row r="21" spans="1:10" ht="72.75" x14ac:dyDescent="0.25">
      <c r="A21" s="20">
        <v>20</v>
      </c>
      <c r="B21" s="1" t="s">
        <v>57</v>
      </c>
      <c r="C21" s="4" t="s">
        <v>24</v>
      </c>
      <c r="D21" s="13" t="s">
        <v>58</v>
      </c>
      <c r="E21" t="s">
        <v>458</v>
      </c>
      <c r="F21" s="153">
        <v>46191</v>
      </c>
      <c r="G21" t="s">
        <v>453</v>
      </c>
      <c r="H21" t="s">
        <v>453</v>
      </c>
      <c r="I21" t="s">
        <v>453</v>
      </c>
      <c r="J21" t="s">
        <v>458</v>
      </c>
    </row>
    <row r="22" spans="1:10" ht="58.5" x14ac:dyDescent="0.25">
      <c r="A22" s="20">
        <v>21</v>
      </c>
      <c r="B22" s="1" t="s">
        <v>59</v>
      </c>
      <c r="C22" s="4" t="s">
        <v>0</v>
      </c>
      <c r="D22" s="13" t="s">
        <v>60</v>
      </c>
      <c r="E22" t="s">
        <v>458</v>
      </c>
      <c r="F22" s="153">
        <v>46191</v>
      </c>
      <c r="G22" t="s">
        <v>453</v>
      </c>
      <c r="H22" t="s">
        <v>453</v>
      </c>
      <c r="I22" t="s">
        <v>453</v>
      </c>
      <c r="J22" t="s">
        <v>458</v>
      </c>
    </row>
    <row r="23" spans="1:10" ht="58.5" x14ac:dyDescent="0.25">
      <c r="A23" s="20">
        <v>22</v>
      </c>
      <c r="B23" s="1" t="s">
        <v>61</v>
      </c>
      <c r="C23" s="4" t="s">
        <v>0</v>
      </c>
      <c r="D23" s="13" t="s">
        <v>62</v>
      </c>
      <c r="E23" t="s">
        <v>458</v>
      </c>
      <c r="F23" s="153">
        <v>46191</v>
      </c>
      <c r="G23" t="s">
        <v>453</v>
      </c>
      <c r="H23" t="s">
        <v>453</v>
      </c>
      <c r="I23" t="s">
        <v>453</v>
      </c>
      <c r="J23" t="s">
        <v>458</v>
      </c>
    </row>
    <row r="24" spans="1:10" ht="43.5" x14ac:dyDescent="0.25">
      <c r="A24" s="20">
        <v>23</v>
      </c>
      <c r="B24" s="1" t="s">
        <v>63</v>
      </c>
      <c r="C24" s="4" t="s">
        <v>25</v>
      </c>
      <c r="D24" s="13" t="s">
        <v>64</v>
      </c>
      <c r="E24" t="s">
        <v>458</v>
      </c>
      <c r="F24" s="153">
        <v>46191</v>
      </c>
      <c r="G24" t="s">
        <v>453</v>
      </c>
      <c r="H24" t="s">
        <v>453</v>
      </c>
      <c r="I24" t="s">
        <v>453</v>
      </c>
      <c r="J24" t="s">
        <v>458</v>
      </c>
    </row>
    <row r="25" spans="1:10" ht="88.5" x14ac:dyDescent="0.25">
      <c r="A25" s="20">
        <v>24</v>
      </c>
      <c r="B25" s="1" t="s">
        <v>65</v>
      </c>
      <c r="C25" s="4" t="s">
        <v>26</v>
      </c>
      <c r="D25" s="13" t="s">
        <v>66</v>
      </c>
      <c r="E25" t="s">
        <v>458</v>
      </c>
      <c r="F25" s="153">
        <v>46191</v>
      </c>
      <c r="G25" t="s">
        <v>453</v>
      </c>
      <c r="H25" t="s">
        <v>453</v>
      </c>
      <c r="I25" t="s">
        <v>453</v>
      </c>
      <c r="J25" t="s">
        <v>458</v>
      </c>
    </row>
    <row r="26" spans="1:10" ht="88.5" x14ac:dyDescent="0.25">
      <c r="A26" s="20">
        <v>25</v>
      </c>
      <c r="B26" s="1" t="s">
        <v>65</v>
      </c>
      <c r="C26" s="4" t="s">
        <v>26</v>
      </c>
      <c r="D26" s="13" t="s">
        <v>27</v>
      </c>
      <c r="E26" t="s">
        <v>458</v>
      </c>
      <c r="F26" s="153">
        <v>46191</v>
      </c>
      <c r="G26" t="s">
        <v>453</v>
      </c>
      <c r="H26" t="s">
        <v>453</v>
      </c>
      <c r="I26" t="s">
        <v>453</v>
      </c>
      <c r="J26" t="s">
        <v>458</v>
      </c>
    </row>
    <row r="27" spans="1:10" ht="88.5" x14ac:dyDescent="0.25">
      <c r="A27" s="20">
        <v>26</v>
      </c>
      <c r="B27" s="1" t="s">
        <v>65</v>
      </c>
      <c r="C27" s="4" t="s">
        <v>26</v>
      </c>
      <c r="D27" s="13" t="s">
        <v>67</v>
      </c>
      <c r="E27" t="s">
        <v>458</v>
      </c>
      <c r="F27" s="153">
        <v>46191</v>
      </c>
      <c r="G27" t="s">
        <v>453</v>
      </c>
      <c r="H27" t="s">
        <v>453</v>
      </c>
      <c r="I27" t="s">
        <v>453</v>
      </c>
      <c r="J27" t="s">
        <v>458</v>
      </c>
    </row>
    <row r="28" spans="1:10" ht="43.5" x14ac:dyDescent="0.25">
      <c r="A28" s="20">
        <v>27</v>
      </c>
      <c r="B28" s="5" t="s">
        <v>68</v>
      </c>
      <c r="C28" s="6" t="s">
        <v>28</v>
      </c>
      <c r="D28" s="13" t="s">
        <v>69</v>
      </c>
      <c r="E28" t="s">
        <v>458</v>
      </c>
      <c r="F28" s="153">
        <v>46191</v>
      </c>
      <c r="G28" t="s">
        <v>453</v>
      </c>
      <c r="H28" t="s">
        <v>453</v>
      </c>
      <c r="I28" t="s">
        <v>453</v>
      </c>
      <c r="J28" t="s">
        <v>458</v>
      </c>
    </row>
    <row r="29" spans="1:10" ht="43.5" x14ac:dyDescent="0.25">
      <c r="A29" s="20">
        <v>28</v>
      </c>
      <c r="B29" s="5" t="s">
        <v>70</v>
      </c>
      <c r="C29" s="6" t="s">
        <v>29</v>
      </c>
      <c r="D29" s="13" t="s">
        <v>71</v>
      </c>
      <c r="E29" t="s">
        <v>458</v>
      </c>
      <c r="F29" s="153">
        <v>46191</v>
      </c>
      <c r="G29" t="s">
        <v>453</v>
      </c>
      <c r="H29" t="s">
        <v>453</v>
      </c>
      <c r="I29" t="s">
        <v>453</v>
      </c>
      <c r="J29" t="s">
        <v>458</v>
      </c>
    </row>
    <row r="30" spans="1:10" ht="59.25" x14ac:dyDescent="0.25">
      <c r="A30" s="20">
        <v>29</v>
      </c>
      <c r="B30" s="5" t="s">
        <v>72</v>
      </c>
      <c r="C30" s="6" t="s">
        <v>6</v>
      </c>
      <c r="D30" s="13" t="s">
        <v>30</v>
      </c>
      <c r="E30" t="s">
        <v>458</v>
      </c>
      <c r="F30" s="153">
        <v>46191</v>
      </c>
      <c r="G30" t="s">
        <v>453</v>
      </c>
      <c r="H30" t="s">
        <v>453</v>
      </c>
      <c r="I30" t="s">
        <v>453</v>
      </c>
      <c r="J30" t="s">
        <v>458</v>
      </c>
    </row>
    <row r="31" spans="1:10" ht="43.5" x14ac:dyDescent="0.25">
      <c r="A31" s="20">
        <v>30</v>
      </c>
      <c r="B31" s="5" t="s">
        <v>68</v>
      </c>
      <c r="C31" s="6" t="s">
        <v>28</v>
      </c>
      <c r="D31" s="13" t="s">
        <v>151</v>
      </c>
      <c r="E31" t="s">
        <v>458</v>
      </c>
      <c r="F31" s="153">
        <v>46191</v>
      </c>
      <c r="G31" t="s">
        <v>453</v>
      </c>
      <c r="H31" t="s">
        <v>453</v>
      </c>
      <c r="I31" t="s">
        <v>453</v>
      </c>
      <c r="J31" t="s">
        <v>458</v>
      </c>
    </row>
    <row r="32" spans="1:10" ht="29.25" x14ac:dyDescent="0.25">
      <c r="A32" s="20">
        <v>31</v>
      </c>
      <c r="B32" s="8" t="s">
        <v>73</v>
      </c>
      <c r="C32" s="9" t="s">
        <v>31</v>
      </c>
      <c r="D32" s="14" t="s">
        <v>32</v>
      </c>
      <c r="E32" t="s">
        <v>458</v>
      </c>
      <c r="F32" s="153">
        <v>46191</v>
      </c>
      <c r="G32" t="s">
        <v>453</v>
      </c>
      <c r="H32" t="s">
        <v>453</v>
      </c>
      <c r="I32" t="s">
        <v>453</v>
      </c>
      <c r="J32" t="s">
        <v>458</v>
      </c>
    </row>
    <row r="33" spans="1:10" ht="29.25" x14ac:dyDescent="0.25">
      <c r="A33" s="20">
        <v>32</v>
      </c>
      <c r="B33" s="8" t="s">
        <v>74</v>
      </c>
      <c r="C33" s="9" t="s">
        <v>33</v>
      </c>
      <c r="D33" s="15" t="s">
        <v>34</v>
      </c>
      <c r="E33" t="s">
        <v>458</v>
      </c>
      <c r="F33" s="153">
        <v>46191</v>
      </c>
      <c r="G33" t="s">
        <v>453</v>
      </c>
      <c r="H33" t="s">
        <v>453</v>
      </c>
      <c r="I33" t="s">
        <v>453</v>
      </c>
      <c r="J33" t="s">
        <v>458</v>
      </c>
    </row>
    <row r="34" spans="1:10" ht="88.5" x14ac:dyDescent="0.25">
      <c r="A34" s="20">
        <v>33</v>
      </c>
      <c r="B34" s="1" t="s">
        <v>65</v>
      </c>
      <c r="C34" s="4" t="s">
        <v>26</v>
      </c>
      <c r="D34" s="13" t="s">
        <v>27</v>
      </c>
      <c r="E34" t="s">
        <v>458</v>
      </c>
      <c r="F34" s="153">
        <v>46191</v>
      </c>
      <c r="G34" t="s">
        <v>453</v>
      </c>
      <c r="H34" t="s">
        <v>453</v>
      </c>
      <c r="I34" t="s">
        <v>453</v>
      </c>
      <c r="J34" t="s">
        <v>458</v>
      </c>
    </row>
    <row r="35" spans="1:10" ht="58.5" x14ac:dyDescent="0.25">
      <c r="A35" s="20">
        <v>34</v>
      </c>
      <c r="B35" s="1" t="s">
        <v>75</v>
      </c>
      <c r="C35" s="4" t="s">
        <v>35</v>
      </c>
      <c r="D35" s="13" t="s">
        <v>36</v>
      </c>
      <c r="E35" t="s">
        <v>458</v>
      </c>
      <c r="F35" s="153">
        <v>46191</v>
      </c>
      <c r="G35" t="s">
        <v>453</v>
      </c>
      <c r="H35" t="s">
        <v>453</v>
      </c>
      <c r="I35" t="s">
        <v>453</v>
      </c>
      <c r="J35" t="s">
        <v>458</v>
      </c>
    </row>
    <row r="36" spans="1:10" ht="43.5" x14ac:dyDescent="0.25">
      <c r="A36" s="20">
        <v>35</v>
      </c>
      <c r="B36" s="18" t="s">
        <v>76</v>
      </c>
      <c r="C36" s="4" t="s">
        <v>28</v>
      </c>
      <c r="D36" s="13" t="s">
        <v>37</v>
      </c>
      <c r="E36" t="s">
        <v>458</v>
      </c>
      <c r="F36" s="153">
        <v>46191</v>
      </c>
      <c r="G36" t="s">
        <v>453</v>
      </c>
      <c r="H36" t="s">
        <v>453</v>
      </c>
      <c r="I36" t="s">
        <v>453</v>
      </c>
      <c r="J36" t="s">
        <v>458</v>
      </c>
    </row>
    <row r="37" spans="1:10" ht="43.5" x14ac:dyDescent="0.25">
      <c r="A37" s="20">
        <v>36</v>
      </c>
      <c r="B37" s="18" t="s">
        <v>76</v>
      </c>
      <c r="C37" s="4" t="s">
        <v>28</v>
      </c>
      <c r="D37" s="13" t="s">
        <v>37</v>
      </c>
      <c r="E37" t="s">
        <v>458</v>
      </c>
      <c r="F37" s="153">
        <v>46191</v>
      </c>
      <c r="G37" t="s">
        <v>453</v>
      </c>
      <c r="H37" t="s">
        <v>453</v>
      </c>
      <c r="I37" t="s">
        <v>453</v>
      </c>
      <c r="J37" t="s">
        <v>458</v>
      </c>
    </row>
    <row r="38" spans="1:10" ht="59.25" x14ac:dyDescent="0.25">
      <c r="A38" s="20">
        <v>37</v>
      </c>
      <c r="B38" s="1" t="s">
        <v>77</v>
      </c>
      <c r="C38" s="4" t="s">
        <v>78</v>
      </c>
      <c r="D38" s="13" t="s">
        <v>79</v>
      </c>
      <c r="E38" t="s">
        <v>458</v>
      </c>
      <c r="F38" s="153">
        <v>46191</v>
      </c>
      <c r="G38" t="s">
        <v>453</v>
      </c>
      <c r="H38" t="s">
        <v>453</v>
      </c>
      <c r="I38" t="s">
        <v>453</v>
      </c>
      <c r="J38" t="s">
        <v>458</v>
      </c>
    </row>
    <row r="39" spans="1:10" ht="58.5" x14ac:dyDescent="0.25">
      <c r="A39" s="20">
        <v>38</v>
      </c>
      <c r="B39" s="18" t="s">
        <v>80</v>
      </c>
      <c r="C39" s="4" t="s">
        <v>0</v>
      </c>
      <c r="D39" s="13" t="s">
        <v>81</v>
      </c>
      <c r="E39" t="s">
        <v>458</v>
      </c>
      <c r="F39" s="153">
        <v>46191</v>
      </c>
      <c r="G39" t="s">
        <v>453</v>
      </c>
      <c r="H39" t="s">
        <v>453</v>
      </c>
      <c r="I39" t="s">
        <v>453</v>
      </c>
      <c r="J39" t="s">
        <v>458</v>
      </c>
    </row>
    <row r="40" spans="1:10" ht="29.25" x14ac:dyDescent="0.25">
      <c r="A40" s="20">
        <v>39</v>
      </c>
      <c r="B40" s="1" t="s">
        <v>82</v>
      </c>
      <c r="C40" s="4" t="s">
        <v>0</v>
      </c>
      <c r="D40" s="13" t="s">
        <v>83</v>
      </c>
      <c r="E40" t="s">
        <v>458</v>
      </c>
      <c r="F40" s="153">
        <v>46191</v>
      </c>
      <c r="G40" t="s">
        <v>453</v>
      </c>
      <c r="H40" t="s">
        <v>453</v>
      </c>
      <c r="I40" t="s">
        <v>453</v>
      </c>
      <c r="J40" t="s">
        <v>458</v>
      </c>
    </row>
    <row r="41" spans="1:10" ht="44.25" x14ac:dyDescent="0.25">
      <c r="A41" s="20">
        <v>40</v>
      </c>
      <c r="B41" s="1" t="s">
        <v>84</v>
      </c>
      <c r="C41" s="4" t="s">
        <v>85</v>
      </c>
      <c r="D41" s="13" t="s">
        <v>86</v>
      </c>
      <c r="E41" t="s">
        <v>458</v>
      </c>
      <c r="F41" s="153">
        <v>46191</v>
      </c>
      <c r="G41" t="s">
        <v>453</v>
      </c>
      <c r="H41" t="s">
        <v>453</v>
      </c>
      <c r="I41" t="s">
        <v>453</v>
      </c>
      <c r="J41" t="s">
        <v>458</v>
      </c>
    </row>
    <row r="42" spans="1:10" ht="58.5" x14ac:dyDescent="0.25">
      <c r="A42" s="20">
        <v>41</v>
      </c>
      <c r="B42" s="5" t="s">
        <v>87</v>
      </c>
      <c r="C42" s="4" t="s">
        <v>0</v>
      </c>
      <c r="D42" s="13" t="s">
        <v>88</v>
      </c>
      <c r="E42" t="s">
        <v>458</v>
      </c>
      <c r="F42" s="153">
        <v>46191</v>
      </c>
      <c r="G42" t="s">
        <v>453</v>
      </c>
      <c r="H42" t="s">
        <v>453</v>
      </c>
      <c r="I42" t="s">
        <v>453</v>
      </c>
      <c r="J42" t="s">
        <v>458</v>
      </c>
    </row>
    <row r="43" spans="1:10" ht="29.25" x14ac:dyDescent="0.25">
      <c r="A43" s="20">
        <v>42</v>
      </c>
      <c r="B43" s="1" t="s">
        <v>89</v>
      </c>
      <c r="C43" s="4" t="s">
        <v>90</v>
      </c>
      <c r="D43" s="13" t="s">
        <v>91</v>
      </c>
      <c r="E43" t="s">
        <v>458</v>
      </c>
      <c r="F43" s="153">
        <v>46191</v>
      </c>
      <c r="G43" t="s">
        <v>453</v>
      </c>
      <c r="H43" t="s">
        <v>453</v>
      </c>
      <c r="I43" t="s">
        <v>453</v>
      </c>
      <c r="J43" t="s">
        <v>458</v>
      </c>
    </row>
    <row r="44" spans="1:10" ht="72.75" x14ac:dyDescent="0.25">
      <c r="A44" s="20">
        <v>43</v>
      </c>
      <c r="B44" s="1" t="s">
        <v>51</v>
      </c>
      <c r="C44" s="4" t="s">
        <v>19</v>
      </c>
      <c r="D44" s="13" t="s">
        <v>92</v>
      </c>
      <c r="E44" t="s">
        <v>458</v>
      </c>
      <c r="F44" s="153">
        <v>46191</v>
      </c>
      <c r="G44" t="s">
        <v>453</v>
      </c>
      <c r="H44" t="s">
        <v>453</v>
      </c>
      <c r="I44" t="s">
        <v>453</v>
      </c>
      <c r="J44" t="s">
        <v>458</v>
      </c>
    </row>
    <row r="45" spans="1:10" ht="43.5" x14ac:dyDescent="0.25">
      <c r="A45" s="20">
        <v>44</v>
      </c>
      <c r="B45" s="1" t="s">
        <v>93</v>
      </c>
      <c r="C45" s="4" t="s">
        <v>28</v>
      </c>
      <c r="D45" s="13" t="s">
        <v>94</v>
      </c>
      <c r="E45" t="s">
        <v>458</v>
      </c>
      <c r="F45" s="153">
        <v>46191</v>
      </c>
      <c r="G45" t="s">
        <v>453</v>
      </c>
      <c r="H45" t="s">
        <v>453</v>
      </c>
      <c r="I45" t="s">
        <v>453</v>
      </c>
      <c r="J45" t="s">
        <v>458</v>
      </c>
    </row>
    <row r="46" spans="1:10" ht="57" x14ac:dyDescent="0.25">
      <c r="A46" s="20">
        <v>45</v>
      </c>
      <c r="B46" s="1" t="s">
        <v>95</v>
      </c>
      <c r="C46" s="4" t="s">
        <v>96</v>
      </c>
      <c r="D46" s="13" t="s">
        <v>97</v>
      </c>
      <c r="E46" t="s">
        <v>458</v>
      </c>
      <c r="F46" s="153">
        <v>46191</v>
      </c>
      <c r="G46" t="s">
        <v>453</v>
      </c>
      <c r="H46" t="s">
        <v>453</v>
      </c>
      <c r="I46" t="s">
        <v>453</v>
      </c>
      <c r="J46" t="s">
        <v>458</v>
      </c>
    </row>
    <row r="47" spans="1:10" ht="42.75" x14ac:dyDescent="0.25">
      <c r="A47" s="20">
        <v>46</v>
      </c>
      <c r="B47" s="1" t="s">
        <v>98</v>
      </c>
      <c r="C47" s="4" t="s">
        <v>99</v>
      </c>
      <c r="D47" s="13" t="s">
        <v>100</v>
      </c>
      <c r="E47" t="s">
        <v>458</v>
      </c>
      <c r="F47" s="153">
        <v>46191</v>
      </c>
      <c r="G47" t="s">
        <v>453</v>
      </c>
      <c r="H47" t="s">
        <v>453</v>
      </c>
      <c r="I47" t="s">
        <v>453</v>
      </c>
      <c r="J47" t="s">
        <v>458</v>
      </c>
    </row>
    <row r="48" spans="1:10" ht="42.75" x14ac:dyDescent="0.25">
      <c r="A48" s="20">
        <v>47</v>
      </c>
      <c r="B48" s="1" t="s">
        <v>101</v>
      </c>
      <c r="C48" s="4" t="s">
        <v>28</v>
      </c>
      <c r="D48" s="13" t="s">
        <v>102</v>
      </c>
      <c r="E48" t="s">
        <v>458</v>
      </c>
      <c r="F48" s="153">
        <v>46191</v>
      </c>
      <c r="G48" t="s">
        <v>453</v>
      </c>
      <c r="H48" t="s">
        <v>453</v>
      </c>
      <c r="I48" t="s">
        <v>453</v>
      </c>
      <c r="J48" t="s">
        <v>458</v>
      </c>
    </row>
    <row r="49" spans="1:10" ht="42.75" x14ac:dyDescent="0.25">
      <c r="A49" s="20">
        <v>48</v>
      </c>
      <c r="B49" s="1" t="s">
        <v>101</v>
      </c>
      <c r="C49" s="4" t="s">
        <v>28</v>
      </c>
      <c r="D49" s="13" t="s">
        <v>103</v>
      </c>
      <c r="E49" t="s">
        <v>458</v>
      </c>
      <c r="F49" s="153">
        <v>46191</v>
      </c>
      <c r="G49" t="s">
        <v>453</v>
      </c>
      <c r="H49" t="s">
        <v>453</v>
      </c>
      <c r="I49" t="s">
        <v>453</v>
      </c>
      <c r="J49" t="s">
        <v>458</v>
      </c>
    </row>
    <row r="50" spans="1:10" ht="42.75" x14ac:dyDescent="0.25">
      <c r="A50" s="20">
        <v>49</v>
      </c>
      <c r="B50" s="1" t="s">
        <v>104</v>
      </c>
      <c r="C50" s="4" t="s">
        <v>105</v>
      </c>
      <c r="D50" s="13" t="s">
        <v>106</v>
      </c>
      <c r="E50" t="s">
        <v>458</v>
      </c>
      <c r="F50" s="153">
        <v>46191</v>
      </c>
      <c r="G50" t="s">
        <v>453</v>
      </c>
      <c r="H50" t="s">
        <v>453</v>
      </c>
      <c r="I50" t="s">
        <v>453</v>
      </c>
      <c r="J50" t="s">
        <v>458</v>
      </c>
    </row>
    <row r="51" spans="1:10" ht="28.5" x14ac:dyDescent="0.25">
      <c r="A51" s="20">
        <v>50</v>
      </c>
      <c r="B51" s="1" t="s">
        <v>107</v>
      </c>
      <c r="C51" s="4" t="s">
        <v>14</v>
      </c>
      <c r="D51" s="13" t="s">
        <v>108</v>
      </c>
      <c r="E51" t="s">
        <v>458</v>
      </c>
      <c r="F51" s="153">
        <v>46191</v>
      </c>
      <c r="G51" t="s">
        <v>453</v>
      </c>
      <c r="H51" t="s">
        <v>453</v>
      </c>
      <c r="I51" t="s">
        <v>453</v>
      </c>
      <c r="J51" t="s">
        <v>458</v>
      </c>
    </row>
    <row r="52" spans="1:10" ht="42.75" x14ac:dyDescent="0.25">
      <c r="A52" s="20">
        <v>51</v>
      </c>
      <c r="B52" s="1" t="s">
        <v>109</v>
      </c>
      <c r="C52" s="4" t="s">
        <v>10</v>
      </c>
      <c r="D52" s="13" t="s">
        <v>110</v>
      </c>
      <c r="E52" t="s">
        <v>458</v>
      </c>
      <c r="F52" s="153">
        <v>46191</v>
      </c>
      <c r="G52" t="s">
        <v>453</v>
      </c>
      <c r="H52" t="s">
        <v>453</v>
      </c>
      <c r="I52" t="s">
        <v>453</v>
      </c>
      <c r="J52" t="s">
        <v>458</v>
      </c>
    </row>
    <row r="53" spans="1:10" ht="28.5" x14ac:dyDescent="0.25">
      <c r="A53" s="20">
        <v>52</v>
      </c>
      <c r="B53" s="1" t="s">
        <v>111</v>
      </c>
      <c r="C53" s="4" t="s">
        <v>14</v>
      </c>
      <c r="D53" s="13" t="s">
        <v>112</v>
      </c>
      <c r="E53" t="s">
        <v>458</v>
      </c>
      <c r="F53" s="153">
        <v>46191</v>
      </c>
      <c r="G53" t="s">
        <v>453</v>
      </c>
      <c r="H53" t="s">
        <v>453</v>
      </c>
      <c r="I53" t="s">
        <v>453</v>
      </c>
      <c r="J53" t="s">
        <v>458</v>
      </c>
    </row>
    <row r="54" spans="1:10" ht="42.75" x14ac:dyDescent="0.25">
      <c r="A54" s="20">
        <v>53</v>
      </c>
      <c r="B54" s="1" t="s">
        <v>113</v>
      </c>
      <c r="C54" s="4" t="s">
        <v>28</v>
      </c>
      <c r="D54" s="13" t="s">
        <v>114</v>
      </c>
      <c r="E54" t="s">
        <v>458</v>
      </c>
      <c r="F54" s="153">
        <v>46191</v>
      </c>
      <c r="G54" t="s">
        <v>453</v>
      </c>
      <c r="H54" t="s">
        <v>453</v>
      </c>
      <c r="I54" t="s">
        <v>453</v>
      </c>
      <c r="J54" t="s">
        <v>458</v>
      </c>
    </row>
    <row r="55" spans="1:10" ht="42.75" x14ac:dyDescent="0.25">
      <c r="A55" s="20">
        <v>54</v>
      </c>
      <c r="B55" s="1" t="s">
        <v>115</v>
      </c>
      <c r="C55" s="4" t="s">
        <v>78</v>
      </c>
      <c r="D55" s="13" t="s">
        <v>116</v>
      </c>
      <c r="E55" t="s">
        <v>458</v>
      </c>
      <c r="F55" s="153">
        <v>46191</v>
      </c>
      <c r="G55" t="s">
        <v>453</v>
      </c>
      <c r="H55" t="s">
        <v>453</v>
      </c>
      <c r="I55" t="s">
        <v>453</v>
      </c>
      <c r="J55" t="s">
        <v>458</v>
      </c>
    </row>
    <row r="56" spans="1:10" ht="57" x14ac:dyDescent="0.25">
      <c r="A56" s="20">
        <v>55</v>
      </c>
      <c r="B56" s="1" t="s">
        <v>117</v>
      </c>
      <c r="C56" s="4" t="s">
        <v>6</v>
      </c>
      <c r="D56" s="13" t="s">
        <v>118</v>
      </c>
      <c r="E56" t="s">
        <v>458</v>
      </c>
      <c r="F56" s="153">
        <v>46191</v>
      </c>
      <c r="G56" t="s">
        <v>453</v>
      </c>
      <c r="H56" t="s">
        <v>453</v>
      </c>
      <c r="I56" t="s">
        <v>453</v>
      </c>
      <c r="J56" t="s">
        <v>458</v>
      </c>
    </row>
    <row r="57" spans="1:10" ht="57" x14ac:dyDescent="0.25">
      <c r="A57" s="20">
        <v>56</v>
      </c>
      <c r="B57" s="7" t="s">
        <v>119</v>
      </c>
      <c r="C57" s="10" t="s">
        <v>96</v>
      </c>
      <c r="D57" s="15" t="s">
        <v>120</v>
      </c>
      <c r="E57" t="s">
        <v>458</v>
      </c>
      <c r="F57" s="153">
        <v>46191</v>
      </c>
      <c r="G57" t="s">
        <v>453</v>
      </c>
      <c r="H57" t="s">
        <v>453</v>
      </c>
      <c r="I57" t="s">
        <v>453</v>
      </c>
      <c r="J57" t="s">
        <v>458</v>
      </c>
    </row>
    <row r="58" spans="1:10" ht="42.75" x14ac:dyDescent="0.25">
      <c r="A58" s="20">
        <v>57</v>
      </c>
      <c r="B58" s="1" t="s">
        <v>121</v>
      </c>
      <c r="C58" s="4" t="s">
        <v>10</v>
      </c>
      <c r="D58" s="13" t="s">
        <v>122</v>
      </c>
      <c r="E58" t="s">
        <v>458</v>
      </c>
      <c r="F58" s="153">
        <v>46191</v>
      </c>
      <c r="G58" t="s">
        <v>453</v>
      </c>
      <c r="H58" t="s">
        <v>453</v>
      </c>
      <c r="I58" t="s">
        <v>453</v>
      </c>
      <c r="J58" t="s">
        <v>458</v>
      </c>
    </row>
    <row r="59" spans="1:10" ht="44.25" x14ac:dyDescent="0.25">
      <c r="A59" s="20">
        <v>58</v>
      </c>
      <c r="B59" s="7" t="s">
        <v>123</v>
      </c>
      <c r="C59" s="10" t="s">
        <v>124</v>
      </c>
      <c r="D59" s="15" t="s">
        <v>125</v>
      </c>
      <c r="E59" t="s">
        <v>458</v>
      </c>
      <c r="F59" s="153">
        <v>46191</v>
      </c>
      <c r="G59" t="s">
        <v>453</v>
      </c>
      <c r="H59" t="s">
        <v>453</v>
      </c>
      <c r="I59" t="s">
        <v>453</v>
      </c>
      <c r="J59" t="s">
        <v>458</v>
      </c>
    </row>
    <row r="60" spans="1:10" ht="42.75" x14ac:dyDescent="0.25">
      <c r="A60" s="20">
        <v>59</v>
      </c>
      <c r="B60" s="7" t="s">
        <v>126</v>
      </c>
      <c r="C60" s="10" t="s">
        <v>10</v>
      </c>
      <c r="D60" s="15" t="s">
        <v>127</v>
      </c>
      <c r="E60" t="s">
        <v>458</v>
      </c>
      <c r="F60" s="153">
        <v>46191</v>
      </c>
      <c r="G60" t="s">
        <v>453</v>
      </c>
      <c r="H60" t="s">
        <v>453</v>
      </c>
      <c r="I60" t="s">
        <v>453</v>
      </c>
      <c r="J60" t="s">
        <v>458</v>
      </c>
    </row>
    <row r="61" spans="1:10" ht="99.75" x14ac:dyDescent="0.25">
      <c r="A61" s="20">
        <v>60</v>
      </c>
      <c r="B61" s="1" t="s">
        <v>128</v>
      </c>
      <c r="C61" s="4" t="s">
        <v>129</v>
      </c>
      <c r="D61" s="13" t="s">
        <v>130</v>
      </c>
      <c r="E61" t="s">
        <v>458</v>
      </c>
      <c r="F61" s="153">
        <v>46191</v>
      </c>
      <c r="G61" t="s">
        <v>453</v>
      </c>
      <c r="H61" t="s">
        <v>453</v>
      </c>
      <c r="I61" t="s">
        <v>453</v>
      </c>
      <c r="J61" t="s">
        <v>458</v>
      </c>
    </row>
    <row r="62" spans="1:10" ht="71.25" x14ac:dyDescent="0.25">
      <c r="A62" s="20">
        <v>61</v>
      </c>
      <c r="B62" s="1" t="s">
        <v>131</v>
      </c>
      <c r="C62" s="4" t="s">
        <v>132</v>
      </c>
      <c r="D62" s="13" t="s">
        <v>133</v>
      </c>
      <c r="E62" t="s">
        <v>458</v>
      </c>
      <c r="F62" s="153">
        <v>46191</v>
      </c>
      <c r="G62" t="s">
        <v>453</v>
      </c>
      <c r="H62" t="s">
        <v>453</v>
      </c>
      <c r="I62" t="s">
        <v>453</v>
      </c>
      <c r="J62" t="s">
        <v>458</v>
      </c>
    </row>
    <row r="63" spans="1:10" ht="28.5" x14ac:dyDescent="0.25">
      <c r="A63" s="20">
        <v>62</v>
      </c>
      <c r="B63" s="1" t="s">
        <v>134</v>
      </c>
      <c r="C63" s="4" t="s">
        <v>135</v>
      </c>
      <c r="D63" s="13" t="s">
        <v>136</v>
      </c>
      <c r="E63" t="s">
        <v>458</v>
      </c>
      <c r="F63" s="153">
        <v>46191</v>
      </c>
      <c r="G63" t="s">
        <v>453</v>
      </c>
      <c r="H63" t="s">
        <v>453</v>
      </c>
      <c r="I63" t="s">
        <v>453</v>
      </c>
      <c r="J63" t="s">
        <v>458</v>
      </c>
    </row>
    <row r="64" spans="1:10" ht="15.75" x14ac:dyDescent="0.25">
      <c r="A64" s="20">
        <v>63</v>
      </c>
      <c r="B64" s="1" t="s">
        <v>13</v>
      </c>
      <c r="C64" s="4" t="s">
        <v>0</v>
      </c>
      <c r="D64" s="19" t="s">
        <v>137</v>
      </c>
      <c r="E64" t="s">
        <v>458</v>
      </c>
      <c r="F64" s="153">
        <v>46191</v>
      </c>
      <c r="G64" t="s">
        <v>453</v>
      </c>
      <c r="H64" t="s">
        <v>453</v>
      </c>
      <c r="I64" t="s">
        <v>453</v>
      </c>
      <c r="J64" t="s">
        <v>458</v>
      </c>
    </row>
    <row r="65" spans="1:10" ht="42.75" x14ac:dyDescent="0.25">
      <c r="A65" s="20">
        <v>64</v>
      </c>
      <c r="B65" s="1" t="s">
        <v>138</v>
      </c>
      <c r="C65" s="4" t="s">
        <v>28</v>
      </c>
      <c r="D65" s="13" t="s">
        <v>139</v>
      </c>
      <c r="E65" t="s">
        <v>458</v>
      </c>
      <c r="F65" s="153">
        <v>46191</v>
      </c>
      <c r="G65" t="s">
        <v>453</v>
      </c>
      <c r="H65" t="s">
        <v>453</v>
      </c>
      <c r="I65" t="s">
        <v>453</v>
      </c>
      <c r="J65" t="s">
        <v>458</v>
      </c>
    </row>
    <row r="66" spans="1:10" ht="42.75" x14ac:dyDescent="0.25">
      <c r="A66" s="20">
        <v>65</v>
      </c>
      <c r="B66" s="1" t="s">
        <v>140</v>
      </c>
      <c r="C66" s="4" t="s">
        <v>29</v>
      </c>
      <c r="D66" s="13" t="s">
        <v>141</v>
      </c>
      <c r="E66" t="s">
        <v>458</v>
      </c>
      <c r="F66" s="153">
        <v>46191</v>
      </c>
      <c r="G66" t="s">
        <v>453</v>
      </c>
      <c r="H66" t="s">
        <v>453</v>
      </c>
      <c r="I66" t="s">
        <v>453</v>
      </c>
      <c r="J66" t="s">
        <v>458</v>
      </c>
    </row>
    <row r="67" spans="1:10" ht="15.75" x14ac:dyDescent="0.25">
      <c r="A67" s="20">
        <v>66</v>
      </c>
      <c r="B67" s="1" t="s">
        <v>13</v>
      </c>
      <c r="C67" s="4" t="s">
        <v>0</v>
      </c>
      <c r="D67" s="13" t="s">
        <v>142</v>
      </c>
      <c r="E67" t="s">
        <v>458</v>
      </c>
      <c r="F67" s="153">
        <v>46191</v>
      </c>
      <c r="G67" t="s">
        <v>453</v>
      </c>
      <c r="H67" t="s">
        <v>453</v>
      </c>
      <c r="I67" t="s">
        <v>453</v>
      </c>
      <c r="J67" t="s">
        <v>458</v>
      </c>
    </row>
    <row r="68" spans="1:10" ht="15.75" x14ac:dyDescent="0.25">
      <c r="A68" s="20">
        <v>67</v>
      </c>
      <c r="B68" s="1" t="s">
        <v>13</v>
      </c>
      <c r="C68" s="4" t="s">
        <v>0</v>
      </c>
      <c r="D68" s="13" t="s">
        <v>143</v>
      </c>
      <c r="E68" t="s">
        <v>458</v>
      </c>
      <c r="F68" s="153">
        <v>46191</v>
      </c>
      <c r="G68" t="s">
        <v>453</v>
      </c>
      <c r="H68" t="s">
        <v>453</v>
      </c>
      <c r="I68" t="s">
        <v>453</v>
      </c>
      <c r="J68" t="s">
        <v>458</v>
      </c>
    </row>
    <row r="69" spans="1:10" ht="15.75" x14ac:dyDescent="0.25">
      <c r="A69" s="20">
        <v>68</v>
      </c>
      <c r="B69" s="1" t="s">
        <v>144</v>
      </c>
      <c r="C69" s="4" t="s">
        <v>145</v>
      </c>
      <c r="D69" s="13" t="s">
        <v>146</v>
      </c>
      <c r="E69" t="s">
        <v>458</v>
      </c>
      <c r="F69" s="153">
        <v>46191</v>
      </c>
      <c r="G69" t="s">
        <v>453</v>
      </c>
      <c r="H69" t="s">
        <v>453</v>
      </c>
      <c r="I69" t="s">
        <v>453</v>
      </c>
      <c r="J69" t="s">
        <v>458</v>
      </c>
    </row>
    <row r="70" spans="1:10" ht="30" x14ac:dyDescent="0.25">
      <c r="A70" s="20">
        <v>69</v>
      </c>
      <c r="B70" s="133" t="s">
        <v>431</v>
      </c>
      <c r="C70" s="134" t="s">
        <v>90</v>
      </c>
      <c r="D70" s="135" t="s">
        <v>432</v>
      </c>
      <c r="E70" t="s">
        <v>458</v>
      </c>
      <c r="F70" s="153">
        <v>46191</v>
      </c>
      <c r="G70" t="s">
        <v>453</v>
      </c>
      <c r="H70" t="s">
        <v>453</v>
      </c>
      <c r="I70" t="s">
        <v>453</v>
      </c>
      <c r="J70" t="s">
        <v>458</v>
      </c>
    </row>
    <row r="71" spans="1:10" ht="42.75" x14ac:dyDescent="0.25">
      <c r="A71" s="20">
        <v>70</v>
      </c>
      <c r="B71" s="1" t="s">
        <v>138</v>
      </c>
      <c r="C71" s="136" t="s">
        <v>28</v>
      </c>
      <c r="D71" s="135" t="s">
        <v>433</v>
      </c>
      <c r="E71" t="s">
        <v>458</v>
      </c>
      <c r="F71" s="153">
        <v>46191</v>
      </c>
      <c r="G71" t="s">
        <v>453</v>
      </c>
      <c r="H71" t="s">
        <v>453</v>
      </c>
      <c r="I71" t="s">
        <v>453</v>
      </c>
      <c r="J71" t="s">
        <v>458</v>
      </c>
    </row>
    <row r="72" spans="1:10" ht="42.75" x14ac:dyDescent="0.25">
      <c r="A72" s="20">
        <v>71</v>
      </c>
      <c r="B72" s="1" t="s">
        <v>138</v>
      </c>
      <c r="C72" s="136" t="s">
        <v>28</v>
      </c>
      <c r="D72" s="135" t="s">
        <v>139</v>
      </c>
      <c r="E72" t="s">
        <v>458</v>
      </c>
      <c r="F72" s="153">
        <v>46191</v>
      </c>
      <c r="G72" t="s">
        <v>453</v>
      </c>
      <c r="H72" t="s">
        <v>453</v>
      </c>
      <c r="I72" t="s">
        <v>453</v>
      </c>
      <c r="J72" t="s">
        <v>458</v>
      </c>
    </row>
    <row r="73" spans="1:10" x14ac:dyDescent="0.25">
      <c r="A73" s="20">
        <v>72</v>
      </c>
      <c r="B73" s="136" t="s">
        <v>434</v>
      </c>
      <c r="C73" s="136" t="s">
        <v>435</v>
      </c>
      <c r="D73" s="135" t="s">
        <v>436</v>
      </c>
      <c r="E73" t="s">
        <v>458</v>
      </c>
      <c r="F73" s="153">
        <v>46191</v>
      </c>
      <c r="G73" t="s">
        <v>453</v>
      </c>
      <c r="H73" t="s">
        <v>453</v>
      </c>
      <c r="I73" t="s">
        <v>453</v>
      </c>
      <c r="J73" t="s">
        <v>458</v>
      </c>
    </row>
    <row r="74" spans="1:10" x14ac:dyDescent="0.25">
      <c r="A74" s="20">
        <v>73</v>
      </c>
      <c r="B74" s="136" t="s">
        <v>13</v>
      </c>
      <c r="C74" s="136" t="s">
        <v>0</v>
      </c>
      <c r="D74" s="135" t="s">
        <v>437</v>
      </c>
      <c r="E74" t="s">
        <v>458</v>
      </c>
      <c r="F74" s="153">
        <v>46191</v>
      </c>
      <c r="G74" t="s">
        <v>453</v>
      </c>
      <c r="H74" t="s">
        <v>453</v>
      </c>
      <c r="I74" t="s">
        <v>453</v>
      </c>
      <c r="J74" t="s">
        <v>458</v>
      </c>
    </row>
    <row r="75" spans="1:10" x14ac:dyDescent="0.25">
      <c r="A75" s="20">
        <v>75</v>
      </c>
      <c r="B75" s="136" t="s">
        <v>438</v>
      </c>
      <c r="C75" s="136" t="s">
        <v>129</v>
      </c>
      <c r="D75" s="135" t="s">
        <v>439</v>
      </c>
      <c r="E75" t="s">
        <v>458</v>
      </c>
      <c r="F75" s="153">
        <v>46191</v>
      </c>
      <c r="G75" t="s">
        <v>453</v>
      </c>
      <c r="H75" t="s">
        <v>453</v>
      </c>
      <c r="I75" t="s">
        <v>453</v>
      </c>
      <c r="J75" t="s">
        <v>458</v>
      </c>
    </row>
    <row r="76" spans="1:10" x14ac:dyDescent="0.25">
      <c r="A76" s="20">
        <v>76</v>
      </c>
      <c r="B76" s="136" t="s">
        <v>13</v>
      </c>
      <c r="C76" s="136" t="s">
        <v>0</v>
      </c>
      <c r="D76" s="135" t="s">
        <v>440</v>
      </c>
      <c r="E76" t="s">
        <v>458</v>
      </c>
      <c r="F76" s="153">
        <v>46191</v>
      </c>
      <c r="G76" t="s">
        <v>453</v>
      </c>
      <c r="H76" t="s">
        <v>453</v>
      </c>
      <c r="I76" t="s">
        <v>453</v>
      </c>
      <c r="J76" t="s">
        <v>458</v>
      </c>
    </row>
    <row r="77" spans="1:10" x14ac:dyDescent="0.25">
      <c r="A77" s="20">
        <v>77</v>
      </c>
      <c r="B77" s="136" t="s">
        <v>445</v>
      </c>
      <c r="C77" s="136" t="s">
        <v>447</v>
      </c>
      <c r="D77" s="135" t="s">
        <v>448</v>
      </c>
      <c r="E77" t="s">
        <v>458</v>
      </c>
      <c r="F77" s="153">
        <v>46191</v>
      </c>
      <c r="G77" t="s">
        <v>453</v>
      </c>
      <c r="H77" t="s">
        <v>453</v>
      </c>
      <c r="I77" t="s">
        <v>453</v>
      </c>
      <c r="J77" t="s">
        <v>458</v>
      </c>
    </row>
    <row r="78" spans="1:10" x14ac:dyDescent="0.25">
      <c r="A78" s="20">
        <v>78</v>
      </c>
      <c r="B78" s="136" t="s">
        <v>7</v>
      </c>
      <c r="C78" s="136" t="s">
        <v>8</v>
      </c>
      <c r="D78" s="135" t="s">
        <v>449</v>
      </c>
      <c r="E78" t="s">
        <v>458</v>
      </c>
      <c r="F78" s="153">
        <v>46191</v>
      </c>
      <c r="G78" t="s">
        <v>453</v>
      </c>
      <c r="H78" t="s">
        <v>453</v>
      </c>
      <c r="I78" t="s">
        <v>453</v>
      </c>
      <c r="J78" t="s">
        <v>458</v>
      </c>
    </row>
    <row r="79" spans="1:10" x14ac:dyDescent="0.25">
      <c r="A79" s="20">
        <v>79</v>
      </c>
      <c r="B79" s="136" t="s">
        <v>446</v>
      </c>
      <c r="C79" s="136" t="s">
        <v>6</v>
      </c>
      <c r="D79" s="135" t="s">
        <v>450</v>
      </c>
      <c r="E79" t="s">
        <v>458</v>
      </c>
      <c r="F79" s="153">
        <v>46191</v>
      </c>
      <c r="G79" t="s">
        <v>453</v>
      </c>
      <c r="H79" t="s">
        <v>453</v>
      </c>
      <c r="I79" t="s">
        <v>453</v>
      </c>
      <c r="J79" t="s">
        <v>458</v>
      </c>
    </row>
    <row r="80" spans="1:10" x14ac:dyDescent="0.25">
      <c r="A80" s="20">
        <v>80</v>
      </c>
      <c r="B80" s="136" t="s">
        <v>144</v>
      </c>
      <c r="C80" s="136" t="s">
        <v>145</v>
      </c>
      <c r="D80" s="135" t="s">
        <v>441</v>
      </c>
      <c r="E80" t="s">
        <v>458</v>
      </c>
      <c r="F80" s="153">
        <v>46191</v>
      </c>
      <c r="G80" t="s">
        <v>453</v>
      </c>
      <c r="H80" t="s">
        <v>453</v>
      </c>
      <c r="I80" t="s">
        <v>453</v>
      </c>
      <c r="J80" t="s">
        <v>458</v>
      </c>
    </row>
    <row r="81" spans="1:10" ht="57" x14ac:dyDescent="0.25">
      <c r="A81" s="165">
        <v>81</v>
      </c>
      <c r="B81" s="154" t="s">
        <v>459</v>
      </c>
      <c r="C81" s="10" t="s">
        <v>78</v>
      </c>
      <c r="D81" s="7" t="s">
        <v>460</v>
      </c>
      <c r="E81" t="s">
        <v>458</v>
      </c>
      <c r="F81" s="153">
        <v>46210</v>
      </c>
      <c r="G81" t="s">
        <v>453</v>
      </c>
      <c r="H81" t="s">
        <v>453</v>
      </c>
      <c r="I81" t="s">
        <v>453</v>
      </c>
      <c r="J81" t="s">
        <v>458</v>
      </c>
    </row>
    <row r="82" spans="1:10" ht="57" x14ac:dyDescent="0.25">
      <c r="A82" s="165">
        <v>82</v>
      </c>
      <c r="B82" s="154" t="s">
        <v>461</v>
      </c>
      <c r="C82" s="155" t="s">
        <v>78</v>
      </c>
      <c r="D82" s="7" t="s">
        <v>462</v>
      </c>
      <c r="E82" t="s">
        <v>458</v>
      </c>
      <c r="F82" s="153">
        <v>46210</v>
      </c>
      <c r="G82" t="s">
        <v>453</v>
      </c>
      <c r="H82" t="s">
        <v>453</v>
      </c>
      <c r="I82" t="s">
        <v>453</v>
      </c>
      <c r="J82" t="s">
        <v>458</v>
      </c>
    </row>
    <row r="83" spans="1:10" ht="42.75" x14ac:dyDescent="0.25">
      <c r="A83" s="165">
        <v>83</v>
      </c>
      <c r="B83" s="158" t="s">
        <v>463</v>
      </c>
      <c r="C83" s="159" t="s">
        <v>22</v>
      </c>
      <c r="D83" s="158" t="s">
        <v>464</v>
      </c>
      <c r="E83" t="s">
        <v>458</v>
      </c>
      <c r="F83" s="153">
        <v>46210</v>
      </c>
      <c r="G83" t="s">
        <v>453</v>
      </c>
      <c r="H83" t="s">
        <v>453</v>
      </c>
      <c r="I83" t="s">
        <v>453</v>
      </c>
      <c r="J83" t="s">
        <v>458</v>
      </c>
    </row>
    <row r="84" spans="1:10" ht="42.75" x14ac:dyDescent="0.25">
      <c r="A84" s="165">
        <v>84</v>
      </c>
      <c r="B84" s="160" t="s">
        <v>465</v>
      </c>
      <c r="C84" s="161" t="s">
        <v>28</v>
      </c>
      <c r="D84" s="162" t="s">
        <v>466</v>
      </c>
      <c r="E84" t="s">
        <v>458</v>
      </c>
      <c r="F84" s="153">
        <v>46210</v>
      </c>
      <c r="G84" t="s">
        <v>453</v>
      </c>
      <c r="H84" t="s">
        <v>453</v>
      </c>
      <c r="I84" t="s">
        <v>453</v>
      </c>
      <c r="J84" t="s">
        <v>458</v>
      </c>
    </row>
    <row r="85" spans="1:10" ht="28.5" x14ac:dyDescent="0.25">
      <c r="A85" s="165">
        <v>85</v>
      </c>
      <c r="B85" s="156" t="s">
        <v>467</v>
      </c>
      <c r="C85" s="157" t="s">
        <v>0</v>
      </c>
      <c r="D85" s="156" t="s">
        <v>468</v>
      </c>
      <c r="E85" t="s">
        <v>458</v>
      </c>
      <c r="F85" s="153">
        <v>46210</v>
      </c>
      <c r="G85" t="s">
        <v>453</v>
      </c>
      <c r="H85" t="s">
        <v>453</v>
      </c>
      <c r="I85" t="s">
        <v>453</v>
      </c>
      <c r="J85" t="s">
        <v>458</v>
      </c>
    </row>
    <row r="86" spans="1:10" ht="42.75" x14ac:dyDescent="0.25">
      <c r="A86" s="165">
        <v>86</v>
      </c>
      <c r="B86" s="7" t="s">
        <v>469</v>
      </c>
      <c r="C86" s="155" t="s">
        <v>0</v>
      </c>
      <c r="D86" s="7" t="s">
        <v>470</v>
      </c>
      <c r="E86" t="s">
        <v>458</v>
      </c>
      <c r="F86" s="153">
        <v>46210</v>
      </c>
      <c r="G86" t="s">
        <v>453</v>
      </c>
      <c r="H86" t="s">
        <v>453</v>
      </c>
      <c r="I86" t="s">
        <v>453</v>
      </c>
      <c r="J86" t="s">
        <v>458</v>
      </c>
    </row>
    <row r="87" spans="1:10" ht="57" x14ac:dyDescent="0.25">
      <c r="A87" s="165">
        <v>87</v>
      </c>
      <c r="B87" s="154" t="s">
        <v>461</v>
      </c>
      <c r="C87" s="155" t="s">
        <v>78</v>
      </c>
      <c r="D87" s="1" t="s">
        <v>471</v>
      </c>
      <c r="E87" t="s">
        <v>458</v>
      </c>
      <c r="F87" s="153">
        <v>46210</v>
      </c>
      <c r="G87" t="s">
        <v>453</v>
      </c>
      <c r="H87" t="s">
        <v>453</v>
      </c>
      <c r="I87" t="s">
        <v>453</v>
      </c>
      <c r="J87" t="s">
        <v>458</v>
      </c>
    </row>
    <row r="88" spans="1:10" ht="42.75" x14ac:dyDescent="0.25">
      <c r="A88" s="165">
        <v>88</v>
      </c>
      <c r="B88" s="154" t="s">
        <v>474</v>
      </c>
      <c r="C88" s="155" t="s">
        <v>0</v>
      </c>
      <c r="D88" s="1" t="s">
        <v>475</v>
      </c>
      <c r="E88" t="s">
        <v>458</v>
      </c>
      <c r="F88" s="153">
        <v>46217</v>
      </c>
      <c r="G88" t="s">
        <v>453</v>
      </c>
      <c r="H88" t="s">
        <v>453</v>
      </c>
      <c r="I88" t="s">
        <v>453</v>
      </c>
      <c r="J88" t="s">
        <v>458</v>
      </c>
    </row>
  </sheetData>
  <phoneticPr fontId="19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397F-2FD3-4CD4-921D-33C3C3C44F1D}">
  <dimension ref="A1:T226"/>
  <sheetViews>
    <sheetView topLeftCell="I201" zoomScale="85" zoomScaleNormal="85" workbookViewId="0">
      <selection sqref="A1:S226"/>
    </sheetView>
  </sheetViews>
  <sheetFormatPr defaultColWidth="9.140625" defaultRowHeight="14.25" outlineLevelCol="1" x14ac:dyDescent="0.25"/>
  <cols>
    <col min="1" max="1" width="8.85546875" style="28" bestFit="1" customWidth="1"/>
    <col min="2" max="2" width="22.28515625" style="26" bestFit="1" customWidth="1"/>
    <col min="3" max="3" width="14.140625" style="26" bestFit="1" customWidth="1"/>
    <col min="4" max="4" width="30.28515625" style="28" bestFit="1" customWidth="1"/>
    <col min="5" max="5" width="30" style="28" bestFit="1" customWidth="1"/>
    <col min="6" max="6" width="15.85546875" style="28" bestFit="1" customWidth="1"/>
    <col min="7" max="7" width="17" style="26" bestFit="1" customWidth="1"/>
    <col min="8" max="8" width="14" style="28" bestFit="1" customWidth="1"/>
    <col min="9" max="9" width="48" style="26" customWidth="1"/>
    <col min="10" max="10" width="21.140625" style="26" bestFit="1" customWidth="1"/>
    <col min="11" max="11" width="15.7109375" style="26" bestFit="1" customWidth="1"/>
    <col min="12" max="12" width="25" style="26" bestFit="1" customWidth="1" outlineLevel="1"/>
    <col min="13" max="13" width="32.140625" style="26" bestFit="1" customWidth="1" outlineLevel="1"/>
    <col min="14" max="14" width="24.140625" style="26" bestFit="1" customWidth="1" outlineLevel="1"/>
    <col min="15" max="15" width="14.5703125" style="26" bestFit="1" customWidth="1" outlineLevel="1"/>
    <col min="16" max="16" width="16.7109375" style="26" bestFit="1" customWidth="1"/>
    <col min="17" max="17" width="64.42578125" style="26" hidden="1" customWidth="1" outlineLevel="1"/>
    <col min="18" max="18" width="18.7109375" style="26" bestFit="1" customWidth="1" collapsed="1"/>
    <col min="19" max="19" width="24.140625" style="26" bestFit="1" customWidth="1"/>
    <col min="20" max="16384" width="9.140625" style="28"/>
  </cols>
  <sheetData>
    <row r="1" spans="1:19" ht="64.5" customHeight="1" x14ac:dyDescent="0.25">
      <c r="A1" s="21" t="s">
        <v>403</v>
      </c>
      <c r="B1" s="21" t="s">
        <v>174</v>
      </c>
      <c r="C1" s="25" t="s">
        <v>175</v>
      </c>
      <c r="D1" s="27" t="s">
        <v>175</v>
      </c>
      <c r="E1" s="27" t="s">
        <v>179</v>
      </c>
      <c r="F1" s="27" t="s">
        <v>428</v>
      </c>
      <c r="G1" s="21" t="s">
        <v>176</v>
      </c>
      <c r="H1" s="65" t="s">
        <v>427</v>
      </c>
      <c r="I1" s="21" t="s">
        <v>177</v>
      </c>
      <c r="J1" s="25" t="s">
        <v>404</v>
      </c>
      <c r="K1" s="21" t="s">
        <v>178</v>
      </c>
      <c r="L1" s="21" t="s">
        <v>405</v>
      </c>
      <c r="M1" s="21" t="s">
        <v>406</v>
      </c>
      <c r="N1" s="21" t="s">
        <v>407</v>
      </c>
      <c r="O1" s="21" t="s">
        <v>408</v>
      </c>
      <c r="P1" s="21" t="s">
        <v>409</v>
      </c>
      <c r="Q1" s="21" t="s">
        <v>410</v>
      </c>
      <c r="R1" s="21" t="s">
        <v>411</v>
      </c>
      <c r="S1" s="21" t="s">
        <v>412</v>
      </c>
    </row>
    <row r="2" spans="1:19" ht="99.75" x14ac:dyDescent="0.25">
      <c r="A2" s="21">
        <v>1</v>
      </c>
      <c r="B2" s="21">
        <v>1</v>
      </c>
      <c r="C2" s="24" t="str">
        <f>LEFT(D2,FIND("-",D2)-1)</f>
        <v>5</v>
      </c>
      <c r="D2" s="33" t="s">
        <v>156</v>
      </c>
      <c r="E2" s="29">
        <v>45509</v>
      </c>
      <c r="F2" s="29" t="str">
        <f>TEXT(LEFT(E2,10),"DD/MM/AAAA")</f>
        <v>05/08/2024</v>
      </c>
      <c r="G2" s="75">
        <v>54</v>
      </c>
      <c r="H2" s="66">
        <f>IF(D2="9-Serviço de Apoio",G2*6.87,IF(D2="8-Café da Manhã",G2*65.44,IF(D2="7-Lunch Box",G2*34.34,IF(D2="4-Coquetel",G2*121.44,IF(D2="1-Empratado especial",G2*92.11,IF(D2="2-Empratado para almoço",G2*78.05,IF(D2="3-Buffet",G2*94.04,IF(D2="5-Coffee Break",G2*43.96,IF(D2="6-Refeições Simplificadas",G2*34.35,IF(D2="10-Serviço de Bebida Especial",G2*100,IF(D2="11-Serviço de Apoio Especial",G2*15,IF(D2="12-Serviço de Apoio Vip",G2*30,IF(D2="13-Brunch",G2*60,"")))))))))))))</f>
        <v>2373.84</v>
      </c>
      <c r="I2" s="73"/>
      <c r="J2" s="109">
        <v>45488</v>
      </c>
      <c r="K2" s="81" t="s">
        <v>157</v>
      </c>
      <c r="L2" s="119">
        <v>45497</v>
      </c>
      <c r="M2" s="119">
        <v>45502</v>
      </c>
      <c r="N2" s="119">
        <v>45517</v>
      </c>
      <c r="O2" s="119">
        <v>45517</v>
      </c>
      <c r="P2" s="83">
        <v>48327</v>
      </c>
      <c r="Q2" s="56" t="s">
        <v>180</v>
      </c>
      <c r="R2" s="81" t="s">
        <v>158</v>
      </c>
      <c r="S2" s="84"/>
    </row>
    <row r="3" spans="1:19" ht="99.75" x14ac:dyDescent="0.25">
      <c r="A3" s="21">
        <v>2</v>
      </c>
      <c r="B3" s="21">
        <v>1</v>
      </c>
      <c r="C3" s="24" t="str">
        <f t="shared" ref="C3:C49" si="0">LEFT(D3,FIND("-",D3)-1)</f>
        <v>5</v>
      </c>
      <c r="D3" s="34" t="s">
        <v>156</v>
      </c>
      <c r="E3" s="35">
        <v>45510</v>
      </c>
      <c r="F3" s="29" t="str">
        <f t="shared" ref="F3:F49" si="1">TEXT(LEFT(E3,10),"DD/MM/AAAA")</f>
        <v>06/08/2024</v>
      </c>
      <c r="G3" s="76">
        <v>54</v>
      </c>
      <c r="H3" s="67">
        <f>IF(D3="9-Serviço de Apoio",G3*6.87,IF(D3="8-Café da Manhã",G3*65.44,IF(D3="7-Lunch Box",G3*34.34,IF(D3="4-Coquetel",G3*121.44,IF(D3="1-Empratado especial",G3*92.11,IF(D3="2-Empratado para almoço",G3*78.05,IF(D3="3-Buffet",G3*94.04,IF(D3="5-Coffee Break",G3*43.96,IF(D3="6-Refeições Simplificadas",G3*34.35,IF(D3="10-Serviço de Bebida Especial",G3*100,IF(D3="11-Serviço de Apoio Especial",G3*15,IF(D3="12-Serviço de Apoio Vip",G3*30,IF(D3="13-Brunch",G3*60,"")))))))))))))</f>
        <v>2373.84</v>
      </c>
      <c r="I3" s="73"/>
      <c r="J3" s="109">
        <v>45488</v>
      </c>
      <c r="K3" s="85" t="s">
        <v>157</v>
      </c>
      <c r="L3" s="119">
        <v>45497</v>
      </c>
      <c r="M3" s="119">
        <v>45502</v>
      </c>
      <c r="N3" s="119">
        <v>45517</v>
      </c>
      <c r="O3" s="119">
        <v>45517</v>
      </c>
      <c r="P3" s="83">
        <v>48327</v>
      </c>
      <c r="Q3" s="56" t="s">
        <v>180</v>
      </c>
      <c r="R3" s="81" t="s">
        <v>158</v>
      </c>
      <c r="S3" s="84"/>
    </row>
    <row r="4" spans="1:19" ht="99.75" x14ac:dyDescent="0.25">
      <c r="A4" s="21">
        <v>3</v>
      </c>
      <c r="B4" s="21">
        <v>1</v>
      </c>
      <c r="C4" s="24" t="str">
        <f t="shared" si="0"/>
        <v>5</v>
      </c>
      <c r="D4" s="34" t="s">
        <v>156</v>
      </c>
      <c r="E4" s="35">
        <v>45511</v>
      </c>
      <c r="F4" s="29" t="str">
        <f t="shared" si="1"/>
        <v>07/08/2024</v>
      </c>
      <c r="G4" s="76">
        <v>54</v>
      </c>
      <c r="H4" s="67">
        <f>IF(D4="9-Serviço de Apoio",G4*6.87,IF(D4="8-Café da Manhã",G4*65.44,IF(D4="7-Lunch Box",G4*34.34,IF(D4="4-Coquetel",G4*121.44,IF(D4="1-Empratado especial",G4*92.11,IF(D4="2-Empratado para almoço",G4*78.05,IF(D4="3-Buffet",G4*94.04,IF(D4="5-Coffee Break",G4*43.96,IF(D4="6-Refeições Simplificadas",G4*34.35,IF(D4="10-Serviço de Bebida Especial",G4*100,IF(D4="11-Serviço de Apoio Especial",G4*15,IF(D4="12-Serviço de Apoio Vip",G4*30,IF(D4="13-Brunch",G4*60,"")))))))))))))</f>
        <v>2373.84</v>
      </c>
      <c r="I4" s="73"/>
      <c r="J4" s="109">
        <v>45488</v>
      </c>
      <c r="K4" s="85" t="s">
        <v>157</v>
      </c>
      <c r="L4" s="119">
        <v>45497</v>
      </c>
      <c r="M4" s="119">
        <v>45502</v>
      </c>
      <c r="N4" s="119">
        <v>45517</v>
      </c>
      <c r="O4" s="119">
        <v>45517</v>
      </c>
      <c r="P4" s="83">
        <v>48327</v>
      </c>
      <c r="Q4" s="56" t="s">
        <v>180</v>
      </c>
      <c r="R4" s="81" t="s">
        <v>158</v>
      </c>
      <c r="S4" s="84"/>
    </row>
    <row r="5" spans="1:19" ht="99.75" x14ac:dyDescent="0.25">
      <c r="A5" s="21">
        <v>4</v>
      </c>
      <c r="B5" s="21">
        <v>1</v>
      </c>
      <c r="C5" s="24" t="str">
        <f t="shared" si="0"/>
        <v>5</v>
      </c>
      <c r="D5" s="34" t="s">
        <v>156</v>
      </c>
      <c r="E5" s="35">
        <v>45512</v>
      </c>
      <c r="F5" s="29" t="str">
        <f t="shared" si="1"/>
        <v>08/08/2024</v>
      </c>
      <c r="G5" s="76">
        <v>54</v>
      </c>
      <c r="H5" s="67">
        <f>IF(D5="9-Serviço de Apoio",G5*6.87,IF(D5="8-Café da Manhã",G5*65.44,IF(D5="7-Lunch Box",G5*34.34,IF(D5="4-Coquetel",G5*121.44,IF(D5="1-Empratado especial",G5*92.11,IF(D5="2-Empratado para almoço",G5*78.05,IF(D5="3-Buffet",G5*94.04,IF(D5="5-Coffee Break",G5*43.96,IF(D5="6-Refeições Simplificadas",G5*34.35,IF(D5="10-Serviço de Bebida Especial",G5*100,IF(D5="11-Serviço de Apoio Especial",G5*15,IF(D5="12-Serviço de Apoio Vip",G5*30,IF(D5="13-Brunch",G5*60,"")))))))))))))</f>
        <v>2373.84</v>
      </c>
      <c r="I5" s="73"/>
      <c r="J5" s="109">
        <v>45488</v>
      </c>
      <c r="K5" s="85" t="s">
        <v>157</v>
      </c>
      <c r="L5" s="119">
        <v>45497</v>
      </c>
      <c r="M5" s="119">
        <v>45502</v>
      </c>
      <c r="N5" s="119">
        <v>45517</v>
      </c>
      <c r="O5" s="119">
        <v>45517</v>
      </c>
      <c r="P5" s="83">
        <v>48327</v>
      </c>
      <c r="Q5" s="56" t="s">
        <v>180</v>
      </c>
      <c r="R5" s="81" t="s">
        <v>158</v>
      </c>
      <c r="S5" s="84"/>
    </row>
    <row r="6" spans="1:19" ht="99.75" x14ac:dyDescent="0.25">
      <c r="A6" s="21">
        <v>5</v>
      </c>
      <c r="B6" s="21">
        <v>1</v>
      </c>
      <c r="C6" s="24" t="str">
        <f t="shared" si="0"/>
        <v>7</v>
      </c>
      <c r="D6" s="34" t="s">
        <v>159</v>
      </c>
      <c r="E6" s="35">
        <v>45513</v>
      </c>
      <c r="F6" s="29" t="str">
        <f t="shared" si="1"/>
        <v>09/08/2024</v>
      </c>
      <c r="G6" s="76">
        <v>54</v>
      </c>
      <c r="H6" s="67">
        <f t="shared" ref="H6:H15" si="2">IF(D6="9-Serviço de Apoio",G6*6.87,IF(D6="8-Café da Manhã",G6*65.44,IF(D6="7-Lunch Box",G6*34.35,IF(D6="4-Coquetel",G6*121.44,IF(D6="1-Empratado especial",G6*92.11,IF(D6="2-Empratado para almoço",G6*78.05,IF(D6="3-Buffet",G6*94.04,IF(D6="5-Coffee Break",G6*43.96,IF(D6="6-Refeições Simplificadas",G6*34.35,IF(D6="10-Serviço de Bebida Especial",G6*100,IF(D6="11-Serviço de Apoio Especial",G6*15,IF(D6="12-Serviço de Apoio Vip",G6*30,IF(D6="13-Brunch",G6*60,"")))))))))))))</f>
        <v>1854.9</v>
      </c>
      <c r="I6" s="73"/>
      <c r="J6" s="109">
        <v>45488</v>
      </c>
      <c r="K6" s="85" t="s">
        <v>157</v>
      </c>
      <c r="L6" s="119">
        <v>45497</v>
      </c>
      <c r="M6" s="119">
        <v>45502</v>
      </c>
      <c r="N6" s="119">
        <v>45517</v>
      </c>
      <c r="O6" s="119">
        <v>45517</v>
      </c>
      <c r="P6" s="83">
        <v>48327</v>
      </c>
      <c r="Q6" s="56" t="s">
        <v>180</v>
      </c>
      <c r="R6" s="81" t="s">
        <v>158</v>
      </c>
      <c r="S6" s="86"/>
    </row>
    <row r="7" spans="1:19" ht="99.75" x14ac:dyDescent="0.25">
      <c r="A7" s="21">
        <v>6</v>
      </c>
      <c r="B7" s="21">
        <v>2</v>
      </c>
      <c r="C7" s="24" t="str">
        <f t="shared" si="0"/>
        <v>5</v>
      </c>
      <c r="D7" s="34" t="s">
        <v>156</v>
      </c>
      <c r="E7" s="35" t="s">
        <v>237</v>
      </c>
      <c r="F7" s="29" t="str">
        <f t="shared" si="1"/>
        <v>21/08/2024</v>
      </c>
      <c r="G7" s="76">
        <v>100</v>
      </c>
      <c r="H7" s="67">
        <f t="shared" si="2"/>
        <v>4396</v>
      </c>
      <c r="I7" s="73" t="s">
        <v>373</v>
      </c>
      <c r="J7" s="110">
        <v>45517</v>
      </c>
      <c r="K7" s="44" t="s">
        <v>157</v>
      </c>
      <c r="L7" s="120">
        <v>45520</v>
      </c>
      <c r="M7" s="120">
        <v>45523</v>
      </c>
      <c r="N7" s="120">
        <v>45533</v>
      </c>
      <c r="O7" s="120">
        <v>45534</v>
      </c>
      <c r="P7" s="77">
        <v>48667</v>
      </c>
      <c r="Q7" s="88" t="s">
        <v>181</v>
      </c>
      <c r="R7" s="44" t="s">
        <v>158</v>
      </c>
      <c r="S7" s="89"/>
    </row>
    <row r="8" spans="1:19" ht="99.75" x14ac:dyDescent="0.25">
      <c r="A8" s="21">
        <v>7</v>
      </c>
      <c r="B8" s="21">
        <v>2</v>
      </c>
      <c r="C8" s="24" t="str">
        <f t="shared" si="0"/>
        <v>6</v>
      </c>
      <c r="D8" s="34" t="s">
        <v>160</v>
      </c>
      <c r="E8" s="35" t="s">
        <v>238</v>
      </c>
      <c r="F8" s="29" t="str">
        <f t="shared" si="1"/>
        <v>21/08/2024</v>
      </c>
      <c r="G8" s="76">
        <v>35</v>
      </c>
      <c r="H8" s="67">
        <f t="shared" si="2"/>
        <v>1202.25</v>
      </c>
      <c r="I8" s="73" t="s">
        <v>373</v>
      </c>
      <c r="J8" s="110">
        <v>45517</v>
      </c>
      <c r="K8" s="44" t="s">
        <v>157</v>
      </c>
      <c r="L8" s="120">
        <v>45520</v>
      </c>
      <c r="M8" s="120">
        <v>45523</v>
      </c>
      <c r="N8" s="120">
        <v>45533</v>
      </c>
      <c r="O8" s="120">
        <v>45534</v>
      </c>
      <c r="P8" s="77">
        <v>48667</v>
      </c>
      <c r="Q8" s="88" t="s">
        <v>181</v>
      </c>
      <c r="R8" s="44" t="s">
        <v>158</v>
      </c>
      <c r="S8" s="84"/>
    </row>
    <row r="9" spans="1:19" ht="99.75" x14ac:dyDescent="0.25">
      <c r="A9" s="21">
        <v>8</v>
      </c>
      <c r="B9" s="21">
        <v>2</v>
      </c>
      <c r="C9" s="24" t="str">
        <f t="shared" si="0"/>
        <v>6</v>
      </c>
      <c r="D9" s="34" t="s">
        <v>160</v>
      </c>
      <c r="E9" s="35" t="s">
        <v>239</v>
      </c>
      <c r="F9" s="29" t="str">
        <f t="shared" si="1"/>
        <v>22/08/2024</v>
      </c>
      <c r="G9" s="76">
        <v>35</v>
      </c>
      <c r="H9" s="67">
        <f t="shared" si="2"/>
        <v>1202.25</v>
      </c>
      <c r="I9" s="73" t="s">
        <v>373</v>
      </c>
      <c r="J9" s="110">
        <v>45517</v>
      </c>
      <c r="K9" s="44" t="s">
        <v>157</v>
      </c>
      <c r="L9" s="120">
        <v>45520</v>
      </c>
      <c r="M9" s="120">
        <v>45523</v>
      </c>
      <c r="N9" s="120">
        <v>45533</v>
      </c>
      <c r="O9" s="120">
        <v>45534</v>
      </c>
      <c r="P9" s="77">
        <v>48667</v>
      </c>
      <c r="Q9" s="88" t="s">
        <v>181</v>
      </c>
      <c r="R9" s="44" t="s">
        <v>158</v>
      </c>
      <c r="S9" s="84"/>
    </row>
    <row r="10" spans="1:19" ht="99.75" x14ac:dyDescent="0.25">
      <c r="A10" s="21">
        <v>9</v>
      </c>
      <c r="B10" s="21">
        <v>2</v>
      </c>
      <c r="C10" s="24" t="str">
        <f t="shared" si="0"/>
        <v>6</v>
      </c>
      <c r="D10" s="34" t="s">
        <v>160</v>
      </c>
      <c r="E10" s="35" t="s">
        <v>240</v>
      </c>
      <c r="F10" s="29" t="str">
        <f t="shared" si="1"/>
        <v>22/08/2024</v>
      </c>
      <c r="G10" s="76">
        <v>35</v>
      </c>
      <c r="H10" s="67">
        <f t="shared" si="2"/>
        <v>1202.25</v>
      </c>
      <c r="I10" s="73" t="s">
        <v>373</v>
      </c>
      <c r="J10" s="110">
        <v>45517</v>
      </c>
      <c r="K10" s="44" t="s">
        <v>157</v>
      </c>
      <c r="L10" s="120">
        <v>45520</v>
      </c>
      <c r="M10" s="120">
        <v>45523</v>
      </c>
      <c r="N10" s="120">
        <v>45533</v>
      </c>
      <c r="O10" s="120">
        <v>45534</v>
      </c>
      <c r="P10" s="77">
        <v>48667</v>
      </c>
      <c r="Q10" s="88" t="s">
        <v>181</v>
      </c>
      <c r="R10" s="44" t="s">
        <v>158</v>
      </c>
      <c r="S10" s="84"/>
    </row>
    <row r="11" spans="1:19" ht="99.75" x14ac:dyDescent="0.25">
      <c r="A11" s="21">
        <v>10</v>
      </c>
      <c r="B11" s="21">
        <v>2</v>
      </c>
      <c r="C11" s="24" t="str">
        <f t="shared" si="0"/>
        <v>6</v>
      </c>
      <c r="D11" s="34" t="s">
        <v>160</v>
      </c>
      <c r="E11" s="35" t="s">
        <v>241</v>
      </c>
      <c r="F11" s="29" t="str">
        <f t="shared" si="1"/>
        <v>23/08/2024</v>
      </c>
      <c r="G11" s="76">
        <v>35</v>
      </c>
      <c r="H11" s="67">
        <f t="shared" si="2"/>
        <v>1202.25</v>
      </c>
      <c r="I11" s="73" t="s">
        <v>373</v>
      </c>
      <c r="J11" s="110">
        <v>45517</v>
      </c>
      <c r="K11" s="44" t="s">
        <v>157</v>
      </c>
      <c r="L11" s="120">
        <v>45520</v>
      </c>
      <c r="M11" s="120">
        <v>45523</v>
      </c>
      <c r="N11" s="120">
        <v>45533</v>
      </c>
      <c r="O11" s="120">
        <v>45534</v>
      </c>
      <c r="P11" s="77">
        <v>48667</v>
      </c>
      <c r="Q11" s="88" t="s">
        <v>181</v>
      </c>
      <c r="R11" s="44" t="s">
        <v>158</v>
      </c>
      <c r="S11" s="84"/>
    </row>
    <row r="12" spans="1:19" ht="99.75" x14ac:dyDescent="0.25">
      <c r="A12" s="21">
        <v>11</v>
      </c>
      <c r="B12" s="21">
        <v>2</v>
      </c>
      <c r="C12" s="24" t="str">
        <f t="shared" si="0"/>
        <v>6</v>
      </c>
      <c r="D12" s="34" t="s">
        <v>160</v>
      </c>
      <c r="E12" s="35" t="s">
        <v>242</v>
      </c>
      <c r="F12" s="29" t="str">
        <f t="shared" si="1"/>
        <v>23/08/2024</v>
      </c>
      <c r="G12" s="76">
        <v>35</v>
      </c>
      <c r="H12" s="67">
        <f t="shared" si="2"/>
        <v>1202.25</v>
      </c>
      <c r="I12" s="73" t="s">
        <v>374</v>
      </c>
      <c r="J12" s="110">
        <v>45517</v>
      </c>
      <c r="K12" s="44" t="s">
        <v>157</v>
      </c>
      <c r="L12" s="120">
        <v>45520</v>
      </c>
      <c r="M12" s="120">
        <v>45523</v>
      </c>
      <c r="N12" s="120">
        <v>45533</v>
      </c>
      <c r="O12" s="120">
        <v>45534</v>
      </c>
      <c r="P12" s="77">
        <v>48667</v>
      </c>
      <c r="Q12" s="88" t="s">
        <v>181</v>
      </c>
      <c r="R12" s="44" t="s">
        <v>158</v>
      </c>
      <c r="S12" s="84"/>
    </row>
    <row r="13" spans="1:19" ht="156.75" x14ac:dyDescent="0.25">
      <c r="A13" s="21">
        <v>12</v>
      </c>
      <c r="B13" s="21">
        <v>3</v>
      </c>
      <c r="C13" s="24" t="str">
        <f t="shared" si="0"/>
        <v>6</v>
      </c>
      <c r="D13" s="34" t="s">
        <v>160</v>
      </c>
      <c r="E13" s="37">
        <v>45533</v>
      </c>
      <c r="F13" s="29" t="str">
        <f t="shared" si="1"/>
        <v>29/08/2024</v>
      </c>
      <c r="G13" s="76">
        <v>150</v>
      </c>
      <c r="H13" s="67">
        <f t="shared" si="2"/>
        <v>5152.5</v>
      </c>
      <c r="I13" s="73" t="s">
        <v>375</v>
      </c>
      <c r="J13" s="110">
        <v>45506</v>
      </c>
      <c r="K13" s="44" t="s">
        <v>157</v>
      </c>
      <c r="L13" s="121">
        <v>45517</v>
      </c>
      <c r="M13" s="121">
        <v>45519</v>
      </c>
      <c r="N13" s="121">
        <v>45534</v>
      </c>
      <c r="O13" s="121">
        <v>45534</v>
      </c>
      <c r="P13" s="76">
        <v>39738</v>
      </c>
      <c r="Q13" s="31" t="s">
        <v>182</v>
      </c>
      <c r="R13" s="21" t="s">
        <v>158</v>
      </c>
      <c r="S13" s="11"/>
    </row>
    <row r="14" spans="1:19" ht="156.75" x14ac:dyDescent="0.25">
      <c r="A14" s="21">
        <v>13</v>
      </c>
      <c r="B14" s="21">
        <v>3</v>
      </c>
      <c r="C14" s="24" t="str">
        <f t="shared" si="0"/>
        <v>2</v>
      </c>
      <c r="D14" s="34" t="s">
        <v>161</v>
      </c>
      <c r="E14" s="39">
        <v>45548</v>
      </c>
      <c r="F14" s="29" t="str">
        <f t="shared" si="1"/>
        <v>13/09/2024</v>
      </c>
      <c r="G14" s="76">
        <v>4</v>
      </c>
      <c r="H14" s="67">
        <f t="shared" si="2"/>
        <v>312.2</v>
      </c>
      <c r="I14" s="73" t="s">
        <v>375</v>
      </c>
      <c r="J14" s="110">
        <v>45506</v>
      </c>
      <c r="K14" s="44" t="s">
        <v>157</v>
      </c>
      <c r="L14" s="121">
        <v>45517</v>
      </c>
      <c r="M14" s="121">
        <v>45519</v>
      </c>
      <c r="N14" s="121">
        <v>45534</v>
      </c>
      <c r="O14" s="121">
        <v>45534</v>
      </c>
      <c r="P14" s="76">
        <v>49051</v>
      </c>
      <c r="Q14" s="31" t="s">
        <v>182</v>
      </c>
      <c r="R14" s="21" t="s">
        <v>158</v>
      </c>
      <c r="S14" s="11"/>
    </row>
    <row r="15" spans="1:19" ht="99.75" x14ac:dyDescent="0.25">
      <c r="A15" s="21">
        <v>14</v>
      </c>
      <c r="B15" s="21">
        <v>4</v>
      </c>
      <c r="C15" s="24" t="str">
        <f t="shared" si="0"/>
        <v>9</v>
      </c>
      <c r="D15" s="40" t="s">
        <v>162</v>
      </c>
      <c r="E15" s="41">
        <v>45545</v>
      </c>
      <c r="F15" s="29" t="str">
        <f t="shared" si="1"/>
        <v>10/09/2024</v>
      </c>
      <c r="G15" s="76">
        <v>220</v>
      </c>
      <c r="H15" s="68">
        <f t="shared" si="2"/>
        <v>1511.4</v>
      </c>
      <c r="I15" s="73" t="s">
        <v>376</v>
      </c>
      <c r="J15" s="111">
        <v>45540</v>
      </c>
      <c r="K15" s="21" t="s">
        <v>157</v>
      </c>
      <c r="L15" s="121">
        <v>45540</v>
      </c>
      <c r="M15" s="121">
        <v>45541</v>
      </c>
      <c r="N15" s="121">
        <v>45547</v>
      </c>
      <c r="O15" s="121"/>
      <c r="P15" s="76">
        <v>48997</v>
      </c>
      <c r="Q15" s="31" t="s">
        <v>163</v>
      </c>
      <c r="R15" s="21" t="s">
        <v>158</v>
      </c>
      <c r="S15" s="11"/>
    </row>
    <row r="16" spans="1:19" ht="99.75" x14ac:dyDescent="0.25">
      <c r="A16" s="21">
        <v>16</v>
      </c>
      <c r="B16" s="21">
        <v>5</v>
      </c>
      <c r="C16" s="24" t="str">
        <f t="shared" si="0"/>
        <v>6</v>
      </c>
      <c r="D16" s="40" t="s">
        <v>160</v>
      </c>
      <c r="E16" s="42">
        <v>45573</v>
      </c>
      <c r="F16" s="29" t="str">
        <f t="shared" si="1"/>
        <v>08/10/2024</v>
      </c>
      <c r="G16" s="76">
        <v>70</v>
      </c>
      <c r="H16" s="68">
        <f t="shared" ref="H16:H45" si="3">IF(D16="9-Serviço de Apoio",G16*6.87,IF(D16="8-Café da Manhã",G16*65.44,IF(D16="7-Lunch Box",G16*34.35,IF(D16="4-Coquetel",G16*121.44,IF(D16="1-Empratado especial",G16*92.11,IF(D16="2-Empratado para almoço",G16*78.05,IF(D16="3-Buffet",G16*94.04,IF(D16="5-Coffee Break",G16*43.96,IF(D16="6-Refeições Simplificadas",G16*34.35,IF(D16="10-Serviço de Bebida Especial",G16*100,IF(D16="11-Serviço de Apoio Especial",G16*15,IF(D16="12-Serviço de Apoio Vip",G16*30,IF(D16="13-Brunch",G16*60,"")))))))))))))</f>
        <v>2404.5</v>
      </c>
      <c r="I16" s="73" t="s">
        <v>377</v>
      </c>
      <c r="J16" s="111">
        <v>45568</v>
      </c>
      <c r="K16" s="21" t="s">
        <v>157</v>
      </c>
      <c r="L16" s="121">
        <v>45569</v>
      </c>
      <c r="M16" s="121">
        <v>45569</v>
      </c>
      <c r="N16" s="121">
        <v>45574</v>
      </c>
      <c r="O16" s="121">
        <v>45575</v>
      </c>
      <c r="P16" s="76">
        <v>40311</v>
      </c>
      <c r="Q16" s="31" t="s">
        <v>183</v>
      </c>
      <c r="R16" s="21" t="s">
        <v>158</v>
      </c>
      <c r="S16" s="11"/>
    </row>
    <row r="17" spans="1:19" ht="85.5" x14ac:dyDescent="0.25">
      <c r="A17" s="21">
        <v>17</v>
      </c>
      <c r="B17" s="21">
        <v>6</v>
      </c>
      <c r="C17" s="24" t="str">
        <f t="shared" si="0"/>
        <v>7</v>
      </c>
      <c r="D17" s="40" t="s">
        <v>159</v>
      </c>
      <c r="E17" s="42">
        <v>45575</v>
      </c>
      <c r="F17" s="29" t="str">
        <f t="shared" si="1"/>
        <v>10/10/2024</v>
      </c>
      <c r="G17" s="76">
        <v>120</v>
      </c>
      <c r="H17" s="68">
        <f t="shared" si="3"/>
        <v>4122</v>
      </c>
      <c r="I17" s="73" t="s">
        <v>378</v>
      </c>
      <c r="J17" s="111">
        <v>45560</v>
      </c>
      <c r="K17" s="21" t="s">
        <v>157</v>
      </c>
      <c r="L17" s="121">
        <v>45561</v>
      </c>
      <c r="M17" s="121">
        <v>45565</v>
      </c>
      <c r="N17" s="121">
        <v>45576</v>
      </c>
      <c r="O17" s="121">
        <v>45576</v>
      </c>
      <c r="P17" s="76">
        <v>40401</v>
      </c>
      <c r="Q17" s="31" t="s">
        <v>184</v>
      </c>
      <c r="R17" s="21" t="s">
        <v>158</v>
      </c>
      <c r="S17" s="11"/>
    </row>
    <row r="18" spans="1:19" ht="85.5" x14ac:dyDescent="0.25">
      <c r="A18" s="21">
        <v>18</v>
      </c>
      <c r="B18" s="21">
        <v>7</v>
      </c>
      <c r="C18" s="24" t="str">
        <f t="shared" si="0"/>
        <v>6</v>
      </c>
      <c r="D18" s="40" t="s">
        <v>160</v>
      </c>
      <c r="E18" s="42">
        <v>45582</v>
      </c>
      <c r="F18" s="29" t="str">
        <f t="shared" si="1"/>
        <v>17/10/2024</v>
      </c>
      <c r="G18" s="76">
        <v>100</v>
      </c>
      <c r="H18" s="68">
        <f t="shared" si="3"/>
        <v>3435</v>
      </c>
      <c r="I18" s="73" t="s">
        <v>375</v>
      </c>
      <c r="J18" s="111">
        <v>45580</v>
      </c>
      <c r="K18" s="21" t="s">
        <v>157</v>
      </c>
      <c r="L18" s="121">
        <v>45580</v>
      </c>
      <c r="M18" s="121">
        <v>45580</v>
      </c>
      <c r="N18" s="121">
        <v>45948</v>
      </c>
      <c r="O18" s="121">
        <v>45948</v>
      </c>
      <c r="P18" s="76">
        <v>40510</v>
      </c>
      <c r="Q18" s="31" t="s">
        <v>185</v>
      </c>
      <c r="R18" s="21" t="s">
        <v>158</v>
      </c>
      <c r="S18" s="11"/>
    </row>
    <row r="19" spans="1:19" ht="85.5" x14ac:dyDescent="0.25">
      <c r="A19" s="21">
        <v>19</v>
      </c>
      <c r="B19" s="21">
        <v>8</v>
      </c>
      <c r="C19" s="24" t="str">
        <f t="shared" si="0"/>
        <v>8</v>
      </c>
      <c r="D19" s="40" t="s">
        <v>164</v>
      </c>
      <c r="E19" s="42">
        <v>45583</v>
      </c>
      <c r="F19" s="29" t="str">
        <f t="shared" si="1"/>
        <v>18/10/2024</v>
      </c>
      <c r="G19" s="76">
        <v>100</v>
      </c>
      <c r="H19" s="68">
        <f t="shared" si="3"/>
        <v>6544</v>
      </c>
      <c r="I19" s="73" t="s">
        <v>379</v>
      </c>
      <c r="J19" s="111">
        <v>45565</v>
      </c>
      <c r="K19" s="21" t="s">
        <v>157</v>
      </c>
      <c r="L19" s="121"/>
      <c r="M19" s="121"/>
      <c r="N19" s="121">
        <v>45586</v>
      </c>
      <c r="O19" s="121">
        <v>45586</v>
      </c>
      <c r="P19" s="76">
        <v>40549</v>
      </c>
      <c r="Q19" s="31" t="s">
        <v>186</v>
      </c>
      <c r="R19" s="21" t="s">
        <v>158</v>
      </c>
      <c r="S19" s="11"/>
    </row>
    <row r="20" spans="1:19" ht="85.5" x14ac:dyDescent="0.25">
      <c r="A20" s="21">
        <v>20</v>
      </c>
      <c r="B20" s="21">
        <v>9</v>
      </c>
      <c r="C20" s="24" t="str">
        <f t="shared" si="0"/>
        <v>7</v>
      </c>
      <c r="D20" s="40" t="s">
        <v>159</v>
      </c>
      <c r="E20" s="42">
        <v>45586</v>
      </c>
      <c r="F20" s="29" t="str">
        <f t="shared" si="1"/>
        <v>21/10/2024</v>
      </c>
      <c r="G20" s="76">
        <v>35</v>
      </c>
      <c r="H20" s="68">
        <f t="shared" si="3"/>
        <v>1202.25</v>
      </c>
      <c r="I20" s="73" t="s">
        <v>380</v>
      </c>
      <c r="J20" s="111">
        <v>45581</v>
      </c>
      <c r="K20" s="21" t="s">
        <v>157</v>
      </c>
      <c r="L20" s="121">
        <v>45582</v>
      </c>
      <c r="M20" s="121">
        <v>45582</v>
      </c>
      <c r="N20" s="121">
        <v>45587</v>
      </c>
      <c r="O20" s="121">
        <v>45587</v>
      </c>
      <c r="P20" s="76">
        <v>40597</v>
      </c>
      <c r="Q20" s="31" t="s">
        <v>187</v>
      </c>
      <c r="R20" s="21" t="s">
        <v>158</v>
      </c>
      <c r="S20" s="11"/>
    </row>
    <row r="21" spans="1:19" ht="128.25" x14ac:dyDescent="0.25">
      <c r="A21" s="21">
        <v>21</v>
      </c>
      <c r="B21" s="21">
        <v>10</v>
      </c>
      <c r="C21" s="24" t="str">
        <f t="shared" si="0"/>
        <v>12</v>
      </c>
      <c r="D21" s="34" t="s">
        <v>165</v>
      </c>
      <c r="E21" s="35" t="s">
        <v>243</v>
      </c>
      <c r="F21" s="29" t="str">
        <f t="shared" si="1"/>
        <v>06/11/2024</v>
      </c>
      <c r="G21" s="76">
        <v>120</v>
      </c>
      <c r="H21" s="67">
        <f t="shared" si="3"/>
        <v>3600</v>
      </c>
      <c r="I21" s="73" t="s">
        <v>381</v>
      </c>
      <c r="J21" s="110">
        <v>45582</v>
      </c>
      <c r="K21" s="44" t="s">
        <v>157</v>
      </c>
      <c r="L21" s="120"/>
      <c r="M21" s="120"/>
      <c r="N21" s="120">
        <v>45609</v>
      </c>
      <c r="O21" s="120">
        <v>45609</v>
      </c>
      <c r="P21" s="90" t="s">
        <v>324</v>
      </c>
      <c r="Q21" s="88" t="s">
        <v>188</v>
      </c>
      <c r="R21" s="44" t="s">
        <v>158</v>
      </c>
      <c r="S21" s="89"/>
    </row>
    <row r="22" spans="1:19" ht="128.25" x14ac:dyDescent="0.25">
      <c r="A22" s="21">
        <v>22</v>
      </c>
      <c r="B22" s="21">
        <v>10</v>
      </c>
      <c r="C22" s="24" t="str">
        <f t="shared" si="0"/>
        <v>12</v>
      </c>
      <c r="D22" s="34" t="s">
        <v>165</v>
      </c>
      <c r="E22" s="35" t="s">
        <v>244</v>
      </c>
      <c r="F22" s="29" t="str">
        <f t="shared" si="1"/>
        <v>07/11/2024</v>
      </c>
      <c r="G22" s="76">
        <v>120</v>
      </c>
      <c r="H22" s="67">
        <f t="shared" si="3"/>
        <v>3600</v>
      </c>
      <c r="I22" s="73" t="s">
        <v>381</v>
      </c>
      <c r="J22" s="110">
        <v>45582</v>
      </c>
      <c r="K22" s="44" t="s">
        <v>157</v>
      </c>
      <c r="L22" s="120"/>
      <c r="M22" s="120"/>
      <c r="N22" s="120">
        <v>45609</v>
      </c>
      <c r="O22" s="120">
        <v>45609</v>
      </c>
      <c r="P22" s="90" t="s">
        <v>324</v>
      </c>
      <c r="Q22" s="88" t="s">
        <v>188</v>
      </c>
      <c r="R22" s="44" t="s">
        <v>158</v>
      </c>
      <c r="S22" s="84"/>
    </row>
    <row r="23" spans="1:19" ht="128.25" x14ac:dyDescent="0.25">
      <c r="A23" s="21">
        <v>23</v>
      </c>
      <c r="B23" s="21">
        <v>10</v>
      </c>
      <c r="C23" s="24" t="str">
        <f t="shared" si="0"/>
        <v>12</v>
      </c>
      <c r="D23" s="34" t="s">
        <v>165</v>
      </c>
      <c r="E23" s="35" t="s">
        <v>245</v>
      </c>
      <c r="F23" s="29" t="str">
        <f t="shared" si="1"/>
        <v>08/11/2024</v>
      </c>
      <c r="G23" s="76">
        <v>120</v>
      </c>
      <c r="H23" s="67">
        <f t="shared" si="3"/>
        <v>3600</v>
      </c>
      <c r="I23" s="73" t="s">
        <v>381</v>
      </c>
      <c r="J23" s="110">
        <v>45582</v>
      </c>
      <c r="K23" s="44" t="s">
        <v>157</v>
      </c>
      <c r="L23" s="120"/>
      <c r="M23" s="120"/>
      <c r="N23" s="120">
        <v>45609</v>
      </c>
      <c r="O23" s="120">
        <v>45609</v>
      </c>
      <c r="P23" s="90" t="s">
        <v>324</v>
      </c>
      <c r="Q23" s="88" t="s">
        <v>188</v>
      </c>
      <c r="R23" s="44" t="s">
        <v>158</v>
      </c>
      <c r="S23" s="84"/>
    </row>
    <row r="24" spans="1:19" ht="128.25" x14ac:dyDescent="0.25">
      <c r="A24" s="21">
        <v>24</v>
      </c>
      <c r="B24" s="21">
        <v>10</v>
      </c>
      <c r="C24" s="24" t="str">
        <f t="shared" si="0"/>
        <v>5</v>
      </c>
      <c r="D24" s="34" t="s">
        <v>156</v>
      </c>
      <c r="E24" s="35" t="s">
        <v>243</v>
      </c>
      <c r="F24" s="29" t="str">
        <f t="shared" si="1"/>
        <v>06/11/2024</v>
      </c>
      <c r="G24" s="76">
        <v>130</v>
      </c>
      <c r="H24" s="67">
        <f t="shared" si="3"/>
        <v>5714.8</v>
      </c>
      <c r="I24" s="73" t="s">
        <v>382</v>
      </c>
      <c r="J24" s="110">
        <v>45582</v>
      </c>
      <c r="K24" s="44" t="s">
        <v>157</v>
      </c>
      <c r="L24" s="120"/>
      <c r="M24" s="120"/>
      <c r="N24" s="120">
        <v>45609</v>
      </c>
      <c r="O24" s="120">
        <v>45609</v>
      </c>
      <c r="P24" s="90" t="s">
        <v>324</v>
      </c>
      <c r="Q24" s="88" t="s">
        <v>188</v>
      </c>
      <c r="R24" s="44" t="s">
        <v>158</v>
      </c>
      <c r="S24" s="84"/>
    </row>
    <row r="25" spans="1:19" ht="128.25" x14ac:dyDescent="0.25">
      <c r="A25" s="21">
        <v>25</v>
      </c>
      <c r="B25" s="21">
        <v>10</v>
      </c>
      <c r="C25" s="24" t="str">
        <f t="shared" si="0"/>
        <v>5</v>
      </c>
      <c r="D25" s="34" t="s">
        <v>156</v>
      </c>
      <c r="E25" s="35" t="s">
        <v>244</v>
      </c>
      <c r="F25" s="29" t="str">
        <f t="shared" si="1"/>
        <v>07/11/2024</v>
      </c>
      <c r="G25" s="76">
        <v>80</v>
      </c>
      <c r="H25" s="67">
        <f t="shared" si="3"/>
        <v>3516.8</v>
      </c>
      <c r="I25" s="73" t="s">
        <v>382</v>
      </c>
      <c r="J25" s="110">
        <v>45582</v>
      </c>
      <c r="K25" s="44" t="s">
        <v>157</v>
      </c>
      <c r="L25" s="120"/>
      <c r="M25" s="120"/>
      <c r="N25" s="120">
        <v>45609</v>
      </c>
      <c r="O25" s="120">
        <v>45609</v>
      </c>
      <c r="P25" s="90" t="s">
        <v>324</v>
      </c>
      <c r="Q25" s="88" t="s">
        <v>188</v>
      </c>
      <c r="R25" s="44" t="s">
        <v>158</v>
      </c>
      <c r="S25" s="84"/>
    </row>
    <row r="26" spans="1:19" ht="128.25" x14ac:dyDescent="0.25">
      <c r="A26" s="21">
        <v>26</v>
      </c>
      <c r="B26" s="21">
        <v>10</v>
      </c>
      <c r="C26" s="24" t="str">
        <f t="shared" si="0"/>
        <v>5</v>
      </c>
      <c r="D26" s="34" t="s">
        <v>156</v>
      </c>
      <c r="E26" s="35" t="s">
        <v>245</v>
      </c>
      <c r="F26" s="29" t="str">
        <f t="shared" si="1"/>
        <v>08/11/2024</v>
      </c>
      <c r="G26" s="76">
        <v>80</v>
      </c>
      <c r="H26" s="67">
        <f t="shared" si="3"/>
        <v>3516.8</v>
      </c>
      <c r="I26" s="73" t="s">
        <v>382</v>
      </c>
      <c r="J26" s="110">
        <v>45582</v>
      </c>
      <c r="K26" s="44" t="s">
        <v>157</v>
      </c>
      <c r="L26" s="120"/>
      <c r="M26" s="120"/>
      <c r="N26" s="120">
        <v>45609</v>
      </c>
      <c r="O26" s="120">
        <v>45609</v>
      </c>
      <c r="P26" s="90" t="s">
        <v>324</v>
      </c>
      <c r="Q26" s="88" t="s">
        <v>188</v>
      </c>
      <c r="R26" s="44" t="s">
        <v>158</v>
      </c>
      <c r="S26" s="84"/>
    </row>
    <row r="27" spans="1:19" ht="128.25" x14ac:dyDescent="0.25">
      <c r="A27" s="21">
        <v>27</v>
      </c>
      <c r="B27" s="21">
        <v>10</v>
      </c>
      <c r="C27" s="24" t="str">
        <f t="shared" si="0"/>
        <v>4</v>
      </c>
      <c r="D27" s="34" t="s">
        <v>167</v>
      </c>
      <c r="E27" s="35" t="s">
        <v>246</v>
      </c>
      <c r="F27" s="29" t="str">
        <f t="shared" si="1"/>
        <v>06/11/2024</v>
      </c>
      <c r="G27" s="76">
        <v>330</v>
      </c>
      <c r="H27" s="68">
        <f t="shared" si="3"/>
        <v>40075.199999999997</v>
      </c>
      <c r="I27" s="73" t="s">
        <v>376</v>
      </c>
      <c r="J27" s="110">
        <v>45582</v>
      </c>
      <c r="K27" s="44" t="s">
        <v>157</v>
      </c>
      <c r="L27" s="120"/>
      <c r="M27" s="120"/>
      <c r="N27" s="120">
        <v>45609</v>
      </c>
      <c r="O27" s="120">
        <v>45609</v>
      </c>
      <c r="P27" s="90" t="s">
        <v>324</v>
      </c>
      <c r="Q27" s="88" t="s">
        <v>188</v>
      </c>
      <c r="R27" s="44" t="s">
        <v>158</v>
      </c>
      <c r="S27" s="84"/>
    </row>
    <row r="28" spans="1:19" ht="128.25" x14ac:dyDescent="0.25">
      <c r="A28" s="21">
        <v>28</v>
      </c>
      <c r="B28" s="21">
        <v>10</v>
      </c>
      <c r="C28" s="24" t="str">
        <f t="shared" si="0"/>
        <v>10</v>
      </c>
      <c r="D28" s="34" t="s">
        <v>168</v>
      </c>
      <c r="E28" s="35" t="s">
        <v>246</v>
      </c>
      <c r="F28" s="29" t="str">
        <f t="shared" si="1"/>
        <v>06/11/2024</v>
      </c>
      <c r="G28" s="76">
        <v>200</v>
      </c>
      <c r="H28" s="68">
        <f t="shared" si="3"/>
        <v>20000</v>
      </c>
      <c r="I28" s="73" t="s">
        <v>376</v>
      </c>
      <c r="J28" s="110">
        <v>45582</v>
      </c>
      <c r="K28" s="44" t="s">
        <v>157</v>
      </c>
      <c r="L28" s="120"/>
      <c r="M28" s="120"/>
      <c r="N28" s="120">
        <v>45609</v>
      </c>
      <c r="O28" s="120">
        <v>45609</v>
      </c>
      <c r="P28" s="90" t="s">
        <v>324</v>
      </c>
      <c r="Q28" s="88" t="s">
        <v>188</v>
      </c>
      <c r="R28" s="44" t="s">
        <v>158</v>
      </c>
      <c r="S28" s="84"/>
    </row>
    <row r="29" spans="1:19" ht="128.25" x14ac:dyDescent="0.25">
      <c r="A29" s="21">
        <v>29</v>
      </c>
      <c r="B29" s="21">
        <v>11</v>
      </c>
      <c r="C29" s="24" t="str">
        <f t="shared" si="0"/>
        <v>7</v>
      </c>
      <c r="D29" s="34" t="s">
        <v>159</v>
      </c>
      <c r="E29" s="35" t="s">
        <v>247</v>
      </c>
      <c r="F29" s="29" t="str">
        <f t="shared" si="1"/>
        <v>07/11/2024</v>
      </c>
      <c r="G29" s="76">
        <v>70</v>
      </c>
      <c r="H29" s="68">
        <f t="shared" si="3"/>
        <v>2404.5</v>
      </c>
      <c r="I29" s="73" t="s">
        <v>375</v>
      </c>
      <c r="J29" s="110">
        <v>45582</v>
      </c>
      <c r="K29" s="44" t="s">
        <v>157</v>
      </c>
      <c r="L29" s="120"/>
      <c r="M29" s="120"/>
      <c r="N29" s="120">
        <v>45609</v>
      </c>
      <c r="O29" s="120">
        <v>45609</v>
      </c>
      <c r="P29" s="90" t="s">
        <v>324</v>
      </c>
      <c r="Q29" s="88" t="s">
        <v>188</v>
      </c>
      <c r="R29" s="44" t="s">
        <v>158</v>
      </c>
      <c r="S29" s="86"/>
    </row>
    <row r="30" spans="1:19" ht="85.5" x14ac:dyDescent="0.25">
      <c r="A30" s="21">
        <v>30</v>
      </c>
      <c r="B30" s="21">
        <v>12</v>
      </c>
      <c r="C30" s="24" t="str">
        <f t="shared" si="0"/>
        <v>9</v>
      </c>
      <c r="D30" s="40" t="s">
        <v>162</v>
      </c>
      <c r="E30" s="42" t="s">
        <v>248</v>
      </c>
      <c r="F30" s="29" t="str">
        <f t="shared" si="1"/>
        <v>05/11/2024</v>
      </c>
      <c r="G30" s="76">
        <v>100</v>
      </c>
      <c r="H30" s="68">
        <f t="shared" si="3"/>
        <v>687</v>
      </c>
      <c r="I30" s="73"/>
      <c r="J30" s="111">
        <v>45595</v>
      </c>
      <c r="K30" s="21" t="s">
        <v>157</v>
      </c>
      <c r="L30" s="121">
        <v>45609</v>
      </c>
      <c r="M30" s="121">
        <v>45596</v>
      </c>
      <c r="N30" s="121">
        <v>45609</v>
      </c>
      <c r="O30" s="121">
        <v>45609</v>
      </c>
      <c r="P30" s="78">
        <v>41184</v>
      </c>
      <c r="Q30" s="31" t="s">
        <v>189</v>
      </c>
      <c r="R30" s="21" t="s">
        <v>158</v>
      </c>
      <c r="S30" s="11"/>
    </row>
    <row r="31" spans="1:19" ht="85.5" x14ac:dyDescent="0.25">
      <c r="A31" s="21">
        <v>31</v>
      </c>
      <c r="B31" s="21">
        <v>13</v>
      </c>
      <c r="C31" s="24" t="str">
        <f t="shared" si="0"/>
        <v>6</v>
      </c>
      <c r="D31" s="34" t="s">
        <v>160</v>
      </c>
      <c r="E31" s="35" t="s">
        <v>249</v>
      </c>
      <c r="F31" s="29" t="str">
        <f t="shared" si="1"/>
        <v>13/11/2024</v>
      </c>
      <c r="G31" s="76">
        <v>50</v>
      </c>
      <c r="H31" s="67">
        <f t="shared" si="3"/>
        <v>1717.5</v>
      </c>
      <c r="I31" s="73" t="s">
        <v>383</v>
      </c>
      <c r="J31" s="110">
        <v>45607</v>
      </c>
      <c r="K31" s="44" t="s">
        <v>157</v>
      </c>
      <c r="L31" s="122">
        <v>45607</v>
      </c>
      <c r="M31" s="122">
        <v>45607</v>
      </c>
      <c r="N31" s="120">
        <v>45614</v>
      </c>
      <c r="O31" s="120">
        <v>45615</v>
      </c>
      <c r="P31" s="91">
        <v>41189</v>
      </c>
      <c r="Q31" s="31" t="s">
        <v>190</v>
      </c>
      <c r="R31" s="44" t="s">
        <v>158</v>
      </c>
      <c r="S31" s="11"/>
    </row>
    <row r="32" spans="1:19" ht="85.5" x14ac:dyDescent="0.25">
      <c r="A32" s="21">
        <v>32</v>
      </c>
      <c r="B32" s="21">
        <v>13</v>
      </c>
      <c r="C32" s="24" t="str">
        <f t="shared" si="0"/>
        <v>12</v>
      </c>
      <c r="D32" s="34" t="s">
        <v>165</v>
      </c>
      <c r="E32" s="35" t="s">
        <v>250</v>
      </c>
      <c r="F32" s="29" t="str">
        <f t="shared" si="1"/>
        <v>13/11/2024</v>
      </c>
      <c r="G32" s="76">
        <v>8</v>
      </c>
      <c r="H32" s="67">
        <f t="shared" si="3"/>
        <v>240</v>
      </c>
      <c r="I32" s="73" t="s">
        <v>383</v>
      </c>
      <c r="J32" s="110">
        <v>45607</v>
      </c>
      <c r="K32" s="44" t="s">
        <v>157</v>
      </c>
      <c r="L32" s="122">
        <v>45607</v>
      </c>
      <c r="M32" s="122">
        <v>45607</v>
      </c>
      <c r="N32" s="120">
        <v>45614</v>
      </c>
      <c r="O32" s="120">
        <v>45615</v>
      </c>
      <c r="P32" s="91">
        <v>41189</v>
      </c>
      <c r="Q32" s="31" t="s">
        <v>190</v>
      </c>
      <c r="R32" s="44" t="s">
        <v>158</v>
      </c>
      <c r="S32" s="11"/>
    </row>
    <row r="33" spans="1:19" ht="99.75" x14ac:dyDescent="0.25">
      <c r="A33" s="21">
        <v>33</v>
      </c>
      <c r="B33" s="21">
        <v>14</v>
      </c>
      <c r="C33" s="24" t="str">
        <f t="shared" si="0"/>
        <v>5</v>
      </c>
      <c r="D33" s="34" t="s">
        <v>156</v>
      </c>
      <c r="E33" s="43" t="s">
        <v>251</v>
      </c>
      <c r="F33" s="29" t="str">
        <f t="shared" si="1"/>
        <v>27/11/2024</v>
      </c>
      <c r="G33" s="76">
        <v>70</v>
      </c>
      <c r="H33" s="67">
        <f t="shared" si="3"/>
        <v>3077.2000000000003</v>
      </c>
      <c r="I33" s="73" t="s">
        <v>384</v>
      </c>
      <c r="J33" s="110">
        <v>45614</v>
      </c>
      <c r="K33" s="44" t="s">
        <v>157</v>
      </c>
      <c r="L33" s="121">
        <v>45615</v>
      </c>
      <c r="M33" s="121">
        <v>45617</v>
      </c>
      <c r="N33" s="120">
        <v>45623</v>
      </c>
      <c r="O33" s="121">
        <v>45630</v>
      </c>
      <c r="P33" s="77">
        <v>37</v>
      </c>
      <c r="Q33" s="31" t="s">
        <v>191</v>
      </c>
      <c r="R33" s="44" t="s">
        <v>158</v>
      </c>
      <c r="S33" s="11"/>
    </row>
    <row r="34" spans="1:19" ht="99.75" x14ac:dyDescent="0.25">
      <c r="A34" s="21">
        <v>34</v>
      </c>
      <c r="B34" s="21">
        <v>14</v>
      </c>
      <c r="C34" s="24" t="str">
        <f t="shared" si="0"/>
        <v>9</v>
      </c>
      <c r="D34" s="34" t="s">
        <v>162</v>
      </c>
      <c r="E34" s="29">
        <v>45623</v>
      </c>
      <c r="F34" s="29" t="str">
        <f t="shared" si="1"/>
        <v>27/11/2024</v>
      </c>
      <c r="G34" s="76">
        <v>8</v>
      </c>
      <c r="H34" s="67">
        <f t="shared" si="3"/>
        <v>54.96</v>
      </c>
      <c r="I34" s="73" t="s">
        <v>384</v>
      </c>
      <c r="J34" s="110">
        <v>45614</v>
      </c>
      <c r="K34" s="44" t="s">
        <v>157</v>
      </c>
      <c r="L34" s="121">
        <v>45615</v>
      </c>
      <c r="M34" s="121">
        <v>45617</v>
      </c>
      <c r="N34" s="120">
        <v>45623</v>
      </c>
      <c r="O34" s="121">
        <v>45630</v>
      </c>
      <c r="P34" s="77">
        <v>37</v>
      </c>
      <c r="Q34" s="31" t="s">
        <v>191</v>
      </c>
      <c r="R34" s="44" t="s">
        <v>158</v>
      </c>
      <c r="S34" s="11"/>
    </row>
    <row r="35" spans="1:19" ht="99.75" x14ac:dyDescent="0.25">
      <c r="A35" s="21">
        <v>35</v>
      </c>
      <c r="B35" s="21">
        <v>15</v>
      </c>
      <c r="C35" s="24" t="str">
        <f t="shared" si="0"/>
        <v>5</v>
      </c>
      <c r="D35" s="40" t="s">
        <v>156</v>
      </c>
      <c r="E35" s="42" t="s">
        <v>252</v>
      </c>
      <c r="F35" s="29" t="str">
        <f t="shared" si="1"/>
        <v>26/11/2024</v>
      </c>
      <c r="G35" s="76">
        <v>70</v>
      </c>
      <c r="H35" s="68">
        <f t="shared" si="3"/>
        <v>3077.2000000000003</v>
      </c>
      <c r="I35" s="73"/>
      <c r="J35" s="111">
        <v>45615</v>
      </c>
      <c r="K35" s="44" t="s">
        <v>157</v>
      </c>
      <c r="L35" s="121">
        <v>45617</v>
      </c>
      <c r="M35" s="121">
        <v>45617</v>
      </c>
      <c r="N35" s="121">
        <v>45623</v>
      </c>
      <c r="O35" s="121">
        <v>45623</v>
      </c>
      <c r="P35" s="76">
        <v>41386</v>
      </c>
      <c r="Q35" s="31" t="s">
        <v>192</v>
      </c>
      <c r="R35" s="44" t="s">
        <v>158</v>
      </c>
      <c r="S35" s="11"/>
    </row>
    <row r="36" spans="1:19" ht="99.75" x14ac:dyDescent="0.25">
      <c r="A36" s="21">
        <v>36</v>
      </c>
      <c r="B36" s="21">
        <v>16</v>
      </c>
      <c r="C36" s="24" t="str">
        <f t="shared" si="0"/>
        <v>9</v>
      </c>
      <c r="D36" s="34" t="s">
        <v>162</v>
      </c>
      <c r="E36" s="43" t="s">
        <v>253</v>
      </c>
      <c r="F36" s="29" t="str">
        <f t="shared" si="1"/>
        <v>02/12/2024</v>
      </c>
      <c r="G36" s="76">
        <v>20</v>
      </c>
      <c r="H36" s="67">
        <f t="shared" si="3"/>
        <v>137.4</v>
      </c>
      <c r="I36" s="73" t="s">
        <v>384</v>
      </c>
      <c r="J36" s="110">
        <v>45618</v>
      </c>
      <c r="K36" s="44" t="s">
        <v>157</v>
      </c>
      <c r="L36" s="120">
        <v>45622</v>
      </c>
      <c r="M36" s="120">
        <v>45622</v>
      </c>
      <c r="N36" s="120">
        <v>45630</v>
      </c>
      <c r="O36" s="120">
        <v>45630</v>
      </c>
      <c r="P36" s="77">
        <v>28</v>
      </c>
      <c r="Q36" s="93" t="s">
        <v>193</v>
      </c>
      <c r="R36" s="44" t="s">
        <v>158</v>
      </c>
      <c r="S36" s="87"/>
    </row>
    <row r="37" spans="1:19" ht="99.75" x14ac:dyDescent="0.25">
      <c r="A37" s="21">
        <v>37</v>
      </c>
      <c r="B37" s="21">
        <v>16</v>
      </c>
      <c r="C37" s="24" t="str">
        <f t="shared" si="0"/>
        <v>12</v>
      </c>
      <c r="D37" s="34" t="s">
        <v>165</v>
      </c>
      <c r="E37" s="30">
        <v>45617</v>
      </c>
      <c r="F37" s="29" t="str">
        <f t="shared" si="1"/>
        <v>21/11/2024</v>
      </c>
      <c r="G37" s="76">
        <v>90</v>
      </c>
      <c r="H37" s="67">
        <f t="shared" si="3"/>
        <v>2700</v>
      </c>
      <c r="I37" s="73" t="s">
        <v>384</v>
      </c>
      <c r="J37" s="110">
        <v>45618</v>
      </c>
      <c r="K37" s="44" t="s">
        <v>157</v>
      </c>
      <c r="L37" s="120">
        <v>45622</v>
      </c>
      <c r="M37" s="120">
        <v>45622</v>
      </c>
      <c r="N37" s="120">
        <v>45630</v>
      </c>
      <c r="O37" s="120">
        <v>45630</v>
      </c>
      <c r="P37" s="77">
        <v>28</v>
      </c>
      <c r="Q37" s="93" t="s">
        <v>193</v>
      </c>
      <c r="R37" s="44" t="s">
        <v>158</v>
      </c>
      <c r="S37" s="82"/>
    </row>
    <row r="38" spans="1:19" ht="99.75" x14ac:dyDescent="0.25">
      <c r="A38" s="21">
        <v>38</v>
      </c>
      <c r="B38" s="21">
        <v>16</v>
      </c>
      <c r="C38" s="24" t="str">
        <f t="shared" si="0"/>
        <v>11</v>
      </c>
      <c r="D38" s="34" t="s">
        <v>169</v>
      </c>
      <c r="E38" s="30">
        <v>45617</v>
      </c>
      <c r="F38" s="29" t="str">
        <f t="shared" si="1"/>
        <v>21/11/2024</v>
      </c>
      <c r="G38" s="76">
        <v>25</v>
      </c>
      <c r="H38" s="67">
        <f t="shared" si="3"/>
        <v>375</v>
      </c>
      <c r="I38" s="73" t="s">
        <v>384</v>
      </c>
      <c r="J38" s="110">
        <v>45618</v>
      </c>
      <c r="K38" s="44" t="s">
        <v>157</v>
      </c>
      <c r="L38" s="120">
        <v>45622</v>
      </c>
      <c r="M38" s="120">
        <v>45622</v>
      </c>
      <c r="N38" s="120">
        <v>45630</v>
      </c>
      <c r="O38" s="120">
        <v>45630</v>
      </c>
      <c r="P38" s="77">
        <v>28</v>
      </c>
      <c r="Q38" s="93" t="s">
        <v>193</v>
      </c>
      <c r="R38" s="44" t="s">
        <v>158</v>
      </c>
      <c r="S38" s="82"/>
    </row>
    <row r="39" spans="1:19" ht="99.75" x14ac:dyDescent="0.25">
      <c r="A39" s="21">
        <v>39</v>
      </c>
      <c r="B39" s="21">
        <v>16</v>
      </c>
      <c r="C39" s="24" t="str">
        <f t="shared" si="0"/>
        <v>9</v>
      </c>
      <c r="D39" s="34" t="s">
        <v>162</v>
      </c>
      <c r="E39" s="43" t="s">
        <v>254</v>
      </c>
      <c r="F39" s="29" t="str">
        <f t="shared" si="1"/>
        <v>02/12/2024</v>
      </c>
      <c r="G39" s="76">
        <v>15</v>
      </c>
      <c r="H39" s="67">
        <f t="shared" si="3"/>
        <v>103.05</v>
      </c>
      <c r="I39" s="73" t="s">
        <v>384</v>
      </c>
      <c r="J39" s="110">
        <v>45618</v>
      </c>
      <c r="K39" s="44" t="s">
        <v>157</v>
      </c>
      <c r="L39" s="120">
        <v>45622</v>
      </c>
      <c r="M39" s="120">
        <v>45622</v>
      </c>
      <c r="N39" s="120">
        <v>45630</v>
      </c>
      <c r="O39" s="120">
        <v>45630</v>
      </c>
      <c r="P39" s="77">
        <v>28</v>
      </c>
      <c r="Q39" s="93" t="s">
        <v>193</v>
      </c>
      <c r="R39" s="44" t="s">
        <v>158</v>
      </c>
      <c r="S39" s="82"/>
    </row>
    <row r="40" spans="1:19" ht="99.75" x14ac:dyDescent="0.25">
      <c r="A40" s="21">
        <v>40</v>
      </c>
      <c r="B40" s="21">
        <v>16</v>
      </c>
      <c r="C40" s="24" t="str">
        <f t="shared" si="0"/>
        <v>12</v>
      </c>
      <c r="D40" s="34" t="s">
        <v>165</v>
      </c>
      <c r="E40" s="30">
        <v>45617</v>
      </c>
      <c r="F40" s="29" t="str">
        <f t="shared" si="1"/>
        <v>21/11/2024</v>
      </c>
      <c r="G40" s="76">
        <v>70</v>
      </c>
      <c r="H40" s="67">
        <f t="shared" si="3"/>
        <v>2100</v>
      </c>
      <c r="I40" s="73" t="s">
        <v>384</v>
      </c>
      <c r="J40" s="110">
        <v>45618</v>
      </c>
      <c r="K40" s="44" t="s">
        <v>157</v>
      </c>
      <c r="L40" s="120">
        <v>45622</v>
      </c>
      <c r="M40" s="120">
        <v>45622</v>
      </c>
      <c r="N40" s="120">
        <v>45630</v>
      </c>
      <c r="O40" s="120">
        <v>45630</v>
      </c>
      <c r="P40" s="77">
        <v>28</v>
      </c>
      <c r="Q40" s="93" t="s">
        <v>193</v>
      </c>
      <c r="R40" s="44" t="s">
        <v>158</v>
      </c>
      <c r="S40" s="82"/>
    </row>
    <row r="41" spans="1:19" ht="99.75" x14ac:dyDescent="0.25">
      <c r="A41" s="21">
        <v>41</v>
      </c>
      <c r="B41" s="21">
        <v>16</v>
      </c>
      <c r="C41" s="24" t="str">
        <f t="shared" si="0"/>
        <v>11</v>
      </c>
      <c r="D41" s="34" t="s">
        <v>169</v>
      </c>
      <c r="E41" s="30">
        <v>45617</v>
      </c>
      <c r="F41" s="29" t="str">
        <f t="shared" si="1"/>
        <v>21/11/2024</v>
      </c>
      <c r="G41" s="76">
        <v>20</v>
      </c>
      <c r="H41" s="67">
        <f t="shared" si="3"/>
        <v>300</v>
      </c>
      <c r="I41" s="73" t="s">
        <v>384</v>
      </c>
      <c r="J41" s="110">
        <v>45618</v>
      </c>
      <c r="K41" s="44" t="s">
        <v>157</v>
      </c>
      <c r="L41" s="120">
        <v>45622</v>
      </c>
      <c r="M41" s="120">
        <v>45622</v>
      </c>
      <c r="N41" s="120">
        <v>45630</v>
      </c>
      <c r="O41" s="120">
        <v>45630</v>
      </c>
      <c r="P41" s="77">
        <v>28</v>
      </c>
      <c r="Q41" s="93" t="s">
        <v>193</v>
      </c>
      <c r="R41" s="44" t="s">
        <v>158</v>
      </c>
      <c r="S41" s="82"/>
    </row>
    <row r="42" spans="1:19" ht="99.75" x14ac:dyDescent="0.25">
      <c r="A42" s="21">
        <v>42</v>
      </c>
      <c r="B42" s="21">
        <v>16</v>
      </c>
      <c r="C42" s="24" t="str">
        <f t="shared" si="0"/>
        <v>2</v>
      </c>
      <c r="D42" s="34" t="s">
        <v>161</v>
      </c>
      <c r="E42" s="30">
        <v>45617</v>
      </c>
      <c r="F42" s="29" t="str">
        <f t="shared" si="1"/>
        <v>21/11/2024</v>
      </c>
      <c r="G42" s="76">
        <v>1</v>
      </c>
      <c r="H42" s="67">
        <f t="shared" si="3"/>
        <v>78.05</v>
      </c>
      <c r="I42" s="73" t="s">
        <v>384</v>
      </c>
      <c r="J42" s="110">
        <v>45618</v>
      </c>
      <c r="K42" s="44" t="s">
        <v>157</v>
      </c>
      <c r="L42" s="120">
        <v>45622</v>
      </c>
      <c r="M42" s="120">
        <v>45622</v>
      </c>
      <c r="N42" s="120">
        <v>45630</v>
      </c>
      <c r="O42" s="120">
        <v>45630</v>
      </c>
      <c r="P42" s="77">
        <v>28</v>
      </c>
      <c r="Q42" s="93" t="s">
        <v>193</v>
      </c>
      <c r="R42" s="44" t="s">
        <v>158</v>
      </c>
      <c r="S42" s="92"/>
    </row>
    <row r="43" spans="1:19" ht="99.75" x14ac:dyDescent="0.25">
      <c r="A43" s="21">
        <v>43</v>
      </c>
      <c r="B43" s="21">
        <v>17</v>
      </c>
      <c r="C43" s="24" t="str">
        <f t="shared" si="0"/>
        <v>5</v>
      </c>
      <c r="D43" s="34" t="s">
        <v>156</v>
      </c>
      <c r="E43" s="35" t="s">
        <v>255</v>
      </c>
      <c r="F43" s="29" t="str">
        <f t="shared" si="1"/>
        <v>03/12/2024</v>
      </c>
      <c r="G43" s="76">
        <v>70</v>
      </c>
      <c r="H43" s="67">
        <f t="shared" si="3"/>
        <v>3077.2000000000003</v>
      </c>
      <c r="I43" s="73" t="s">
        <v>383</v>
      </c>
      <c r="J43" s="110">
        <v>45623</v>
      </c>
      <c r="K43" s="44" t="s">
        <v>157</v>
      </c>
      <c r="L43" s="120">
        <v>45624</v>
      </c>
      <c r="M43" s="120">
        <v>45628</v>
      </c>
      <c r="N43" s="120">
        <v>45632</v>
      </c>
      <c r="O43" s="120">
        <v>45635</v>
      </c>
      <c r="P43" s="91">
        <v>98</v>
      </c>
      <c r="Q43" s="93" t="s">
        <v>194</v>
      </c>
      <c r="R43" s="44" t="s">
        <v>158</v>
      </c>
      <c r="S43" s="89"/>
    </row>
    <row r="44" spans="1:19" ht="99.75" x14ac:dyDescent="0.25">
      <c r="A44" s="21">
        <v>44</v>
      </c>
      <c r="B44" s="21">
        <v>17</v>
      </c>
      <c r="C44" s="24" t="str">
        <f t="shared" si="0"/>
        <v>5</v>
      </c>
      <c r="D44" s="34" t="s">
        <v>156</v>
      </c>
      <c r="E44" s="35" t="s">
        <v>256</v>
      </c>
      <c r="F44" s="29" t="str">
        <f t="shared" si="1"/>
        <v>03/12/2024</v>
      </c>
      <c r="G44" s="76">
        <v>70</v>
      </c>
      <c r="H44" s="67">
        <f t="shared" si="3"/>
        <v>3077.2000000000003</v>
      </c>
      <c r="I44" s="73" t="s">
        <v>383</v>
      </c>
      <c r="J44" s="110">
        <v>45623</v>
      </c>
      <c r="K44" s="44" t="s">
        <v>157</v>
      </c>
      <c r="L44" s="120">
        <v>45624</v>
      </c>
      <c r="M44" s="120">
        <v>45628</v>
      </c>
      <c r="N44" s="120">
        <v>45632</v>
      </c>
      <c r="O44" s="120">
        <v>45635</v>
      </c>
      <c r="P44" s="91">
        <v>98</v>
      </c>
      <c r="Q44" s="93" t="s">
        <v>194</v>
      </c>
      <c r="R44" s="44" t="s">
        <v>158</v>
      </c>
      <c r="S44" s="84"/>
    </row>
    <row r="45" spans="1:19" ht="99.75" x14ac:dyDescent="0.25">
      <c r="A45" s="21">
        <v>45</v>
      </c>
      <c r="B45" s="21">
        <v>17</v>
      </c>
      <c r="C45" s="24" t="str">
        <f t="shared" si="0"/>
        <v>5</v>
      </c>
      <c r="D45" s="34" t="s">
        <v>156</v>
      </c>
      <c r="E45" s="35" t="s">
        <v>257</v>
      </c>
      <c r="F45" s="29" t="str">
        <f t="shared" si="1"/>
        <v>04/12/2024</v>
      </c>
      <c r="G45" s="76">
        <v>70</v>
      </c>
      <c r="H45" s="67">
        <f t="shared" si="3"/>
        <v>3077.2000000000003</v>
      </c>
      <c r="I45" s="73" t="s">
        <v>383</v>
      </c>
      <c r="J45" s="110">
        <v>45623</v>
      </c>
      <c r="K45" s="44" t="s">
        <v>157</v>
      </c>
      <c r="L45" s="120">
        <v>45624</v>
      </c>
      <c r="M45" s="120">
        <v>45628</v>
      </c>
      <c r="N45" s="120">
        <v>45632</v>
      </c>
      <c r="O45" s="120">
        <v>45635</v>
      </c>
      <c r="P45" s="91">
        <v>98</v>
      </c>
      <c r="Q45" s="93" t="s">
        <v>194</v>
      </c>
      <c r="R45" s="44" t="s">
        <v>158</v>
      </c>
      <c r="S45" s="84"/>
    </row>
    <row r="46" spans="1:19" ht="99.75" x14ac:dyDescent="0.25">
      <c r="A46" s="21">
        <v>46</v>
      </c>
      <c r="B46" s="21">
        <v>17</v>
      </c>
      <c r="C46" s="24" t="str">
        <f t="shared" si="0"/>
        <v>9</v>
      </c>
      <c r="D46" s="34" t="s">
        <v>162</v>
      </c>
      <c r="E46" s="35" t="s">
        <v>258</v>
      </c>
      <c r="F46" s="29" t="str">
        <f t="shared" si="1"/>
        <v>03/12/2024</v>
      </c>
      <c r="G46" s="76">
        <v>13</v>
      </c>
      <c r="H46" s="67">
        <f t="shared" ref="H46:H77" si="4">IF(ISERROR(IF(D46="9-Serviço de Apoio",G46*6.87,IF(D46="8-Café da Manhã",G46*65.44,IF(D46="7-Lunch Box",G46*34.35,IF(D46="4-Coquetel",G46*121.44,IF(D46="1-Empratado especial",G46*92.11,IF(D46="2-Empratado para almoço",G46*78.05,IF(D46="3-Buffet",G46*94.04,IF(D46="5-Coffee Break",G46*43.96,IF(D46="6-Refeições Simplificadas",G46*34.35,IF(D46="10-Serviço de Bebida Especial",G46*100,IF(D46="11-Serviço de Apoio Especial",G46*15,IF(D46="12-Serviço de Apoio Vip",G46*30,IF(D46="13-Brunch",G46*60,"")))))))))))))),"-",IF(D46="9-Serviço de Apoio",G46*6.87,IF(D46="8-Café da Manhã",G46*65.44,IF(D46="7-Lunch Box",G46*34.35,IF(D46="4-Coquetel",G46*121.44,IF(D46="1-Empratado especial",G46*92.11,IF(D46="2-Empratado para almoço",G46*78.05,IF(D46="3-Buffet",G46*94.04,IF(D46="5-Coffee Break",G46*43.96,IF(D46="6-Refeições Simplificadas",G46*34.35,IF(D46="10-Serviço de Bebida Especial",G46*100,IF(D46="11-Serviço de Apoio Especial",G46*15,IF(D46="12-Serviço de Apoio Vip",G46*30,IF(D46="13-Brunch",G46*60,""))))))))))))))</f>
        <v>89.31</v>
      </c>
      <c r="I46" s="73" t="s">
        <v>383</v>
      </c>
      <c r="J46" s="110">
        <v>45623</v>
      </c>
      <c r="K46" s="44" t="s">
        <v>157</v>
      </c>
      <c r="L46" s="120">
        <v>45624</v>
      </c>
      <c r="M46" s="120">
        <v>45628</v>
      </c>
      <c r="N46" s="120">
        <v>45632</v>
      </c>
      <c r="O46" s="120">
        <v>45635</v>
      </c>
      <c r="P46" s="91">
        <v>98</v>
      </c>
      <c r="Q46" s="93" t="s">
        <v>194</v>
      </c>
      <c r="R46" s="44" t="s">
        <v>158</v>
      </c>
      <c r="S46" s="84"/>
    </row>
    <row r="47" spans="1:19" ht="99.75" x14ac:dyDescent="0.25">
      <c r="A47" s="21">
        <v>47</v>
      </c>
      <c r="B47" s="21">
        <v>17</v>
      </c>
      <c r="C47" s="24" t="str">
        <f t="shared" si="0"/>
        <v>9</v>
      </c>
      <c r="D47" s="34" t="s">
        <v>162</v>
      </c>
      <c r="E47" s="35" t="s">
        <v>259</v>
      </c>
      <c r="F47" s="29" t="str">
        <f t="shared" si="1"/>
        <v>03/12/2024</v>
      </c>
      <c r="G47" s="76">
        <v>12</v>
      </c>
      <c r="H47" s="67">
        <f t="shared" si="4"/>
        <v>82.44</v>
      </c>
      <c r="I47" s="73" t="s">
        <v>383</v>
      </c>
      <c r="J47" s="110">
        <v>45623</v>
      </c>
      <c r="K47" s="44" t="s">
        <v>157</v>
      </c>
      <c r="L47" s="120">
        <v>45624</v>
      </c>
      <c r="M47" s="120">
        <v>45628</v>
      </c>
      <c r="N47" s="120">
        <v>45632</v>
      </c>
      <c r="O47" s="120">
        <v>45635</v>
      </c>
      <c r="P47" s="91">
        <v>98</v>
      </c>
      <c r="Q47" s="93" t="s">
        <v>194</v>
      </c>
      <c r="R47" s="44" t="s">
        <v>158</v>
      </c>
      <c r="S47" s="84"/>
    </row>
    <row r="48" spans="1:19" ht="99.75" x14ac:dyDescent="0.25">
      <c r="A48" s="21">
        <v>48</v>
      </c>
      <c r="B48" s="21">
        <v>17</v>
      </c>
      <c r="C48" s="24" t="str">
        <f t="shared" si="0"/>
        <v>9</v>
      </c>
      <c r="D48" s="34" t="s">
        <v>162</v>
      </c>
      <c r="E48" s="35" t="s">
        <v>260</v>
      </c>
      <c r="F48" s="29" t="str">
        <f t="shared" si="1"/>
        <v>04/12/2024</v>
      </c>
      <c r="G48" s="76">
        <v>12</v>
      </c>
      <c r="H48" s="67">
        <f t="shared" si="4"/>
        <v>82.44</v>
      </c>
      <c r="I48" s="73" t="s">
        <v>383</v>
      </c>
      <c r="J48" s="110">
        <v>45623</v>
      </c>
      <c r="K48" s="44" t="s">
        <v>157</v>
      </c>
      <c r="L48" s="120">
        <v>45624</v>
      </c>
      <c r="M48" s="120">
        <v>45628</v>
      </c>
      <c r="N48" s="120">
        <v>45632</v>
      </c>
      <c r="O48" s="120">
        <v>45635</v>
      </c>
      <c r="P48" s="91">
        <v>98</v>
      </c>
      <c r="Q48" s="93" t="s">
        <v>194</v>
      </c>
      <c r="R48" s="44" t="s">
        <v>158</v>
      </c>
      <c r="S48" s="84"/>
    </row>
    <row r="49" spans="1:19" ht="99.75" x14ac:dyDescent="0.25">
      <c r="A49" s="21">
        <v>49</v>
      </c>
      <c r="B49" s="21">
        <v>18</v>
      </c>
      <c r="C49" s="24" t="str">
        <f t="shared" si="0"/>
        <v>4</v>
      </c>
      <c r="D49" s="34" t="s">
        <v>167</v>
      </c>
      <c r="E49" s="35" t="s">
        <v>261</v>
      </c>
      <c r="F49" s="29" t="str">
        <f t="shared" si="1"/>
        <v>03/12/2024</v>
      </c>
      <c r="G49" s="76">
        <v>120</v>
      </c>
      <c r="H49" s="68">
        <f t="shared" si="4"/>
        <v>14572.8</v>
      </c>
      <c r="I49" s="73" t="s">
        <v>385</v>
      </c>
      <c r="J49" s="110">
        <v>45623</v>
      </c>
      <c r="K49" s="44" t="s">
        <v>157</v>
      </c>
      <c r="L49" s="120">
        <v>45624</v>
      </c>
      <c r="M49" s="120">
        <v>45628</v>
      </c>
      <c r="N49" s="120">
        <v>45632</v>
      </c>
      <c r="O49" s="120">
        <v>45635</v>
      </c>
      <c r="P49" s="91">
        <v>98</v>
      </c>
      <c r="Q49" s="93" t="s">
        <v>194</v>
      </c>
      <c r="R49" s="44" t="s">
        <v>158</v>
      </c>
      <c r="S49" s="86"/>
    </row>
    <row r="50" spans="1:19" ht="99.75" x14ac:dyDescent="0.25">
      <c r="A50" s="21">
        <v>50</v>
      </c>
      <c r="B50" s="21">
        <v>19</v>
      </c>
      <c r="C50" s="24" t="str">
        <f t="shared" ref="C50:C94" si="5">LEFT(D50,FIND("-",D50)-1)</f>
        <v>5</v>
      </c>
      <c r="D50" s="40" t="s">
        <v>156</v>
      </c>
      <c r="E50" s="42" t="s">
        <v>262</v>
      </c>
      <c r="F50" s="29" t="str">
        <f t="shared" ref="F50:F94" si="6">TEXT(LEFT(E50,10),"DD/MM/AAAA")</f>
        <v>09/12/2024</v>
      </c>
      <c r="G50" s="76">
        <v>70</v>
      </c>
      <c r="H50" s="68">
        <f t="shared" si="4"/>
        <v>3077.2000000000003</v>
      </c>
      <c r="I50" s="73" t="s">
        <v>383</v>
      </c>
      <c r="J50" s="111">
        <v>45621</v>
      </c>
      <c r="K50" s="21" t="s">
        <v>157</v>
      </c>
      <c r="L50" s="121">
        <v>45630</v>
      </c>
      <c r="M50" s="121">
        <v>45631</v>
      </c>
      <c r="N50" s="121">
        <v>45636</v>
      </c>
      <c r="O50" s="121">
        <v>45636</v>
      </c>
      <c r="P50" s="78">
        <v>157</v>
      </c>
      <c r="Q50" s="31" t="s">
        <v>195</v>
      </c>
      <c r="R50" s="21" t="s">
        <v>158</v>
      </c>
      <c r="S50" s="11"/>
    </row>
    <row r="51" spans="1:19" ht="99.75" x14ac:dyDescent="0.25">
      <c r="A51" s="21">
        <v>51</v>
      </c>
      <c r="B51" s="21">
        <v>20</v>
      </c>
      <c r="C51" s="24" t="str">
        <f t="shared" si="5"/>
        <v>5</v>
      </c>
      <c r="D51" s="34" t="s">
        <v>156</v>
      </c>
      <c r="E51" s="35" t="s">
        <v>263</v>
      </c>
      <c r="F51" s="29" t="str">
        <f t="shared" si="6"/>
        <v>16/12/2024</v>
      </c>
      <c r="G51" s="76">
        <v>40</v>
      </c>
      <c r="H51" s="67">
        <f t="shared" si="4"/>
        <v>1758.4</v>
      </c>
      <c r="I51" s="73" t="s">
        <v>386</v>
      </c>
      <c r="J51" s="110">
        <v>45636</v>
      </c>
      <c r="K51" s="21" t="s">
        <v>157</v>
      </c>
      <c r="L51" s="120">
        <v>45637</v>
      </c>
      <c r="M51" s="120">
        <v>45637</v>
      </c>
      <c r="N51" s="120">
        <v>45643</v>
      </c>
      <c r="O51" s="120">
        <v>45643</v>
      </c>
      <c r="P51" s="91">
        <v>227</v>
      </c>
      <c r="Q51" s="88" t="s">
        <v>196</v>
      </c>
      <c r="R51" s="44" t="s">
        <v>158</v>
      </c>
      <c r="S51" s="89"/>
    </row>
    <row r="52" spans="1:19" ht="99.75" x14ac:dyDescent="0.25">
      <c r="A52" s="21">
        <v>52</v>
      </c>
      <c r="B52" s="21">
        <v>20</v>
      </c>
      <c r="C52" s="24" t="str">
        <f t="shared" si="5"/>
        <v>4</v>
      </c>
      <c r="D52" s="34" t="s">
        <v>167</v>
      </c>
      <c r="E52" s="35" t="s">
        <v>263</v>
      </c>
      <c r="F52" s="29" t="str">
        <f t="shared" si="6"/>
        <v>16/12/2024</v>
      </c>
      <c r="G52" s="76">
        <v>50</v>
      </c>
      <c r="H52" s="67">
        <f t="shared" si="4"/>
        <v>6072</v>
      </c>
      <c r="I52" s="73" t="s">
        <v>386</v>
      </c>
      <c r="J52" s="110">
        <v>45636</v>
      </c>
      <c r="K52" s="21" t="s">
        <v>157</v>
      </c>
      <c r="L52" s="120">
        <v>45637</v>
      </c>
      <c r="M52" s="120">
        <v>45637</v>
      </c>
      <c r="N52" s="120">
        <v>45643</v>
      </c>
      <c r="O52" s="120">
        <v>45643</v>
      </c>
      <c r="P52" s="91">
        <v>227</v>
      </c>
      <c r="Q52" s="88" t="s">
        <v>196</v>
      </c>
      <c r="R52" s="44" t="s">
        <v>158</v>
      </c>
      <c r="S52" s="86"/>
    </row>
    <row r="53" spans="1:19" ht="99.75" x14ac:dyDescent="0.25">
      <c r="A53" s="21">
        <v>53</v>
      </c>
      <c r="B53" s="21">
        <v>21</v>
      </c>
      <c r="C53" s="24" t="str">
        <f t="shared" si="5"/>
        <v>9</v>
      </c>
      <c r="D53" s="40" t="s">
        <v>162</v>
      </c>
      <c r="E53" s="42" t="s">
        <v>264</v>
      </c>
      <c r="F53" s="29" t="str">
        <f t="shared" si="6"/>
        <v>01/02/2025</v>
      </c>
      <c r="G53" s="76">
        <v>70</v>
      </c>
      <c r="H53" s="68">
        <f t="shared" si="4"/>
        <v>480.90000000000003</v>
      </c>
      <c r="I53" s="73" t="s">
        <v>376</v>
      </c>
      <c r="J53" s="111">
        <v>45687</v>
      </c>
      <c r="K53" s="21" t="s">
        <v>157</v>
      </c>
      <c r="L53" s="121">
        <v>45688</v>
      </c>
      <c r="M53" s="121"/>
      <c r="N53" s="121">
        <v>45691</v>
      </c>
      <c r="O53" s="121">
        <v>45693</v>
      </c>
      <c r="P53" s="76">
        <v>507</v>
      </c>
      <c r="Q53" s="88" t="s">
        <v>197</v>
      </c>
      <c r="R53" s="21" t="s">
        <v>158</v>
      </c>
      <c r="S53" s="11"/>
    </row>
    <row r="54" spans="1:19" ht="99.75" x14ac:dyDescent="0.25">
      <c r="A54" s="21">
        <v>54</v>
      </c>
      <c r="B54" s="21">
        <v>22</v>
      </c>
      <c r="C54" s="24" t="str">
        <f t="shared" si="5"/>
        <v>7</v>
      </c>
      <c r="D54" s="40" t="s">
        <v>159</v>
      </c>
      <c r="E54" s="42" t="s">
        <v>265</v>
      </c>
      <c r="F54" s="29" t="str">
        <f t="shared" si="6"/>
        <v>03/02/2025</v>
      </c>
      <c r="G54" s="76">
        <v>500</v>
      </c>
      <c r="H54" s="68">
        <f t="shared" si="4"/>
        <v>17175</v>
      </c>
      <c r="I54" s="73" t="s">
        <v>375</v>
      </c>
      <c r="J54" s="111">
        <v>45672</v>
      </c>
      <c r="K54" s="21" t="s">
        <v>157</v>
      </c>
      <c r="L54" s="121">
        <v>45673</v>
      </c>
      <c r="M54" s="121">
        <v>45674</v>
      </c>
      <c r="N54" s="121">
        <v>45692</v>
      </c>
      <c r="O54" s="121">
        <v>45693</v>
      </c>
      <c r="P54" s="76">
        <v>508</v>
      </c>
      <c r="Q54" s="88" t="s">
        <v>198</v>
      </c>
      <c r="R54" s="21" t="s">
        <v>158</v>
      </c>
      <c r="S54" s="11"/>
    </row>
    <row r="55" spans="1:19" ht="99.75" x14ac:dyDescent="0.25">
      <c r="A55" s="21">
        <v>55</v>
      </c>
      <c r="B55" s="21">
        <v>23</v>
      </c>
      <c r="C55" s="24" t="str">
        <f t="shared" si="5"/>
        <v>11</v>
      </c>
      <c r="D55" s="40" t="s">
        <v>169</v>
      </c>
      <c r="E55" s="42">
        <v>45728</v>
      </c>
      <c r="F55" s="29" t="str">
        <f t="shared" si="6"/>
        <v>12/03/2025</v>
      </c>
      <c r="G55" s="76">
        <v>150</v>
      </c>
      <c r="H55" s="68">
        <f t="shared" si="4"/>
        <v>2250</v>
      </c>
      <c r="I55" s="73" t="s">
        <v>376</v>
      </c>
      <c r="J55" s="111">
        <v>45716</v>
      </c>
      <c r="K55" s="21" t="s">
        <v>157</v>
      </c>
      <c r="L55" s="123">
        <v>45716</v>
      </c>
      <c r="M55" s="123">
        <v>45716</v>
      </c>
      <c r="N55" s="123">
        <v>45729</v>
      </c>
      <c r="O55" s="123">
        <v>45729</v>
      </c>
      <c r="P55" s="76">
        <v>626</v>
      </c>
      <c r="Q55" s="88" t="s">
        <v>199</v>
      </c>
      <c r="R55" s="21" t="s">
        <v>158</v>
      </c>
      <c r="S55" s="11"/>
    </row>
    <row r="56" spans="1:19" ht="99.75" x14ac:dyDescent="0.25">
      <c r="A56" s="21">
        <v>56</v>
      </c>
      <c r="B56" s="21">
        <v>24</v>
      </c>
      <c r="C56" s="24" t="str">
        <f t="shared" si="5"/>
        <v>8</v>
      </c>
      <c r="D56" s="40" t="s">
        <v>164</v>
      </c>
      <c r="E56" s="42">
        <v>45736</v>
      </c>
      <c r="F56" s="29" t="str">
        <f t="shared" si="6"/>
        <v>20/03/2025</v>
      </c>
      <c r="G56" s="76">
        <v>50</v>
      </c>
      <c r="H56" s="68">
        <f t="shared" si="4"/>
        <v>3272</v>
      </c>
      <c r="I56" s="73" t="s">
        <v>374</v>
      </c>
      <c r="J56" s="111">
        <v>45708</v>
      </c>
      <c r="K56" s="21" t="s">
        <v>157</v>
      </c>
      <c r="L56" s="123">
        <v>45728</v>
      </c>
      <c r="M56" s="123">
        <v>45728</v>
      </c>
      <c r="N56" s="121">
        <v>45737</v>
      </c>
      <c r="O56" s="121">
        <v>45741</v>
      </c>
      <c r="P56" s="76">
        <v>1041</v>
      </c>
      <c r="Q56" s="88" t="s">
        <v>200</v>
      </c>
      <c r="R56" s="21" t="s">
        <v>158</v>
      </c>
      <c r="S56" s="11"/>
    </row>
    <row r="57" spans="1:19" ht="89.25" x14ac:dyDescent="0.25">
      <c r="A57" s="21">
        <v>57</v>
      </c>
      <c r="B57" s="21">
        <v>25</v>
      </c>
      <c r="C57" s="24" t="str">
        <f t="shared" si="5"/>
        <v>7</v>
      </c>
      <c r="D57" s="34" t="s">
        <v>159</v>
      </c>
      <c r="E57" s="35">
        <v>45737</v>
      </c>
      <c r="F57" s="29" t="str">
        <f t="shared" si="6"/>
        <v>21/03/2025</v>
      </c>
      <c r="G57" s="76">
        <v>35</v>
      </c>
      <c r="H57" s="67">
        <f t="shared" si="4"/>
        <v>1202.25</v>
      </c>
      <c r="I57" s="73"/>
      <c r="J57" s="110">
        <v>45708</v>
      </c>
      <c r="K57" s="21" t="s">
        <v>170</v>
      </c>
      <c r="L57" s="124">
        <v>45712</v>
      </c>
      <c r="M57" s="124">
        <v>45713</v>
      </c>
      <c r="N57" s="124"/>
      <c r="O57" s="124"/>
      <c r="P57" s="77" t="s">
        <v>166</v>
      </c>
      <c r="Q57" s="89" t="s">
        <v>170</v>
      </c>
      <c r="R57" s="44"/>
      <c r="S57" s="96" t="s">
        <v>171</v>
      </c>
    </row>
    <row r="58" spans="1:19" ht="89.25" x14ac:dyDescent="0.25">
      <c r="A58" s="21">
        <v>58</v>
      </c>
      <c r="B58" s="21">
        <v>25</v>
      </c>
      <c r="C58" s="24" t="str">
        <f t="shared" si="5"/>
        <v>7</v>
      </c>
      <c r="D58" s="34" t="s">
        <v>159</v>
      </c>
      <c r="E58" s="35">
        <v>45744</v>
      </c>
      <c r="F58" s="29" t="str">
        <f t="shared" si="6"/>
        <v>28/03/2025</v>
      </c>
      <c r="G58" s="76">
        <v>35</v>
      </c>
      <c r="H58" s="67">
        <f t="shared" si="4"/>
        <v>1202.25</v>
      </c>
      <c r="I58" s="73"/>
      <c r="J58" s="110">
        <v>45708</v>
      </c>
      <c r="K58" s="21" t="s">
        <v>170</v>
      </c>
      <c r="L58" s="124">
        <v>45712</v>
      </c>
      <c r="M58" s="124">
        <v>45713</v>
      </c>
      <c r="N58" s="124"/>
      <c r="O58" s="124"/>
      <c r="P58" s="77" t="s">
        <v>166</v>
      </c>
      <c r="Q58" s="89" t="s">
        <v>170</v>
      </c>
      <c r="R58" s="22"/>
      <c r="S58" s="96" t="s">
        <v>171</v>
      </c>
    </row>
    <row r="59" spans="1:19" ht="99.75" x14ac:dyDescent="0.25">
      <c r="A59" s="21">
        <v>59</v>
      </c>
      <c r="B59" s="21">
        <v>26</v>
      </c>
      <c r="C59" s="24" t="str">
        <f t="shared" si="5"/>
        <v>5</v>
      </c>
      <c r="D59" s="34" t="s">
        <v>156</v>
      </c>
      <c r="E59" s="35" t="s">
        <v>266</v>
      </c>
      <c r="F59" s="29" t="str">
        <f t="shared" si="6"/>
        <v>24/03/2025</v>
      </c>
      <c r="G59" s="76">
        <v>40</v>
      </c>
      <c r="H59" s="67">
        <f t="shared" si="4"/>
        <v>1758.4</v>
      </c>
      <c r="I59" s="73" t="s">
        <v>384</v>
      </c>
      <c r="J59" s="110">
        <v>45716</v>
      </c>
      <c r="K59" s="21" t="s">
        <v>157</v>
      </c>
      <c r="L59" s="124">
        <v>45728</v>
      </c>
      <c r="M59" s="124">
        <v>45728</v>
      </c>
      <c r="N59" s="124">
        <v>45742</v>
      </c>
      <c r="O59" s="124">
        <v>45742</v>
      </c>
      <c r="P59" s="77">
        <v>908</v>
      </c>
      <c r="Q59" s="88" t="s">
        <v>201</v>
      </c>
      <c r="R59" s="44" t="s">
        <v>158</v>
      </c>
      <c r="S59" s="89"/>
    </row>
    <row r="60" spans="1:19" ht="99.75" x14ac:dyDescent="0.25">
      <c r="A60" s="21">
        <v>60</v>
      </c>
      <c r="B60" s="21">
        <v>26</v>
      </c>
      <c r="C60" s="24" t="str">
        <f t="shared" si="5"/>
        <v>5</v>
      </c>
      <c r="D60" s="34" t="s">
        <v>156</v>
      </c>
      <c r="E60" s="35" t="s">
        <v>267</v>
      </c>
      <c r="F60" s="29" t="str">
        <f t="shared" si="6"/>
        <v>24/03/2025</v>
      </c>
      <c r="G60" s="76">
        <v>40</v>
      </c>
      <c r="H60" s="67">
        <f t="shared" si="4"/>
        <v>1758.4</v>
      </c>
      <c r="I60" s="73" t="s">
        <v>384</v>
      </c>
      <c r="J60" s="110">
        <v>45716</v>
      </c>
      <c r="K60" s="21" t="s">
        <v>157</v>
      </c>
      <c r="L60" s="125"/>
      <c r="M60" s="125"/>
      <c r="N60" s="125"/>
      <c r="O60" s="125"/>
      <c r="P60" s="77">
        <v>908</v>
      </c>
      <c r="Q60" s="88" t="s">
        <v>201</v>
      </c>
      <c r="R60" s="44" t="s">
        <v>158</v>
      </c>
      <c r="S60" s="86"/>
    </row>
    <row r="61" spans="1:19" ht="99.75" x14ac:dyDescent="0.25">
      <c r="A61" s="21">
        <v>61</v>
      </c>
      <c r="B61" s="21">
        <v>27</v>
      </c>
      <c r="C61" s="24" t="str">
        <f t="shared" si="5"/>
        <v>6</v>
      </c>
      <c r="D61" s="46" t="s">
        <v>160</v>
      </c>
      <c r="E61" s="47" t="s">
        <v>268</v>
      </c>
      <c r="F61" s="29" t="str">
        <f t="shared" si="6"/>
        <v>13/05/2025</v>
      </c>
      <c r="G61" s="77">
        <v>80</v>
      </c>
      <c r="H61" s="69">
        <f t="shared" si="4"/>
        <v>2748</v>
      </c>
      <c r="I61" s="73" t="s">
        <v>375</v>
      </c>
      <c r="J61" s="110">
        <v>45784</v>
      </c>
      <c r="K61" s="44" t="s">
        <v>157</v>
      </c>
      <c r="L61" s="124">
        <v>45784</v>
      </c>
      <c r="M61" s="124">
        <v>45784</v>
      </c>
      <c r="N61" s="124">
        <v>45796</v>
      </c>
      <c r="O61" s="124">
        <v>45796</v>
      </c>
      <c r="P61" s="77">
        <v>1874</v>
      </c>
      <c r="Q61" s="88" t="s">
        <v>202</v>
      </c>
      <c r="R61" s="44" t="s">
        <v>158</v>
      </c>
      <c r="S61" s="44"/>
    </row>
    <row r="62" spans="1:19" ht="99.75" x14ac:dyDescent="0.25">
      <c r="A62" s="21">
        <v>62</v>
      </c>
      <c r="B62" s="21">
        <v>28</v>
      </c>
      <c r="C62" s="24" t="str">
        <f t="shared" si="5"/>
        <v>5</v>
      </c>
      <c r="D62" s="40" t="s">
        <v>156</v>
      </c>
      <c r="E62" s="42" t="s">
        <v>269</v>
      </c>
      <c r="F62" s="29" t="str">
        <f t="shared" si="6"/>
        <v>26/05/2025</v>
      </c>
      <c r="G62" s="76">
        <v>50</v>
      </c>
      <c r="H62" s="68">
        <f t="shared" si="4"/>
        <v>2198</v>
      </c>
      <c r="I62" s="73" t="s">
        <v>383</v>
      </c>
      <c r="J62" s="112">
        <v>45793</v>
      </c>
      <c r="K62" s="21" t="s">
        <v>157</v>
      </c>
      <c r="L62" s="123">
        <v>45798</v>
      </c>
      <c r="M62" s="123">
        <v>45798</v>
      </c>
      <c r="N62" s="123">
        <v>45805</v>
      </c>
      <c r="O62" s="123">
        <v>45805</v>
      </c>
      <c r="P62" s="76">
        <v>1986</v>
      </c>
      <c r="Q62" s="31" t="s">
        <v>203</v>
      </c>
      <c r="R62" s="21" t="s">
        <v>158</v>
      </c>
      <c r="S62" s="21"/>
    </row>
    <row r="63" spans="1:19" ht="99.75" x14ac:dyDescent="0.25">
      <c r="A63" s="21">
        <v>63</v>
      </c>
      <c r="B63" s="21">
        <v>29</v>
      </c>
      <c r="C63" s="24" t="str">
        <f t="shared" si="5"/>
        <v>6</v>
      </c>
      <c r="D63" s="40" t="s">
        <v>160</v>
      </c>
      <c r="E63" s="42" t="s">
        <v>270</v>
      </c>
      <c r="F63" s="29" t="str">
        <f t="shared" si="6"/>
        <v>27/05/2025</v>
      </c>
      <c r="G63" s="76">
        <v>150</v>
      </c>
      <c r="H63" s="68">
        <f t="shared" si="4"/>
        <v>5152.5</v>
      </c>
      <c r="I63" s="73" t="s">
        <v>375</v>
      </c>
      <c r="J63" s="111">
        <v>45784</v>
      </c>
      <c r="K63" s="21" t="s">
        <v>157</v>
      </c>
      <c r="L63" s="123">
        <v>45789</v>
      </c>
      <c r="M63" s="123">
        <v>45790</v>
      </c>
      <c r="N63" s="123">
        <v>45805</v>
      </c>
      <c r="O63" s="123">
        <v>45805</v>
      </c>
      <c r="P63" s="76">
        <v>2017</v>
      </c>
      <c r="Q63" s="88" t="s">
        <v>204</v>
      </c>
      <c r="R63" s="21" t="s">
        <v>158</v>
      </c>
      <c r="S63" s="21"/>
    </row>
    <row r="64" spans="1:19" ht="99.75" x14ac:dyDescent="0.25">
      <c r="A64" s="21">
        <v>64</v>
      </c>
      <c r="B64" s="21">
        <v>30</v>
      </c>
      <c r="C64" s="24" t="str">
        <f t="shared" si="5"/>
        <v>4</v>
      </c>
      <c r="D64" s="34" t="s">
        <v>167</v>
      </c>
      <c r="E64" s="35" t="s">
        <v>271</v>
      </c>
      <c r="F64" s="29" t="str">
        <f t="shared" si="6"/>
        <v>02/06/2025</v>
      </c>
      <c r="G64" s="76">
        <v>25</v>
      </c>
      <c r="H64" s="67">
        <f t="shared" si="4"/>
        <v>3036</v>
      </c>
      <c r="I64" s="73" t="s">
        <v>374</v>
      </c>
      <c r="J64" s="113">
        <v>45810</v>
      </c>
      <c r="K64" s="21" t="s">
        <v>157</v>
      </c>
      <c r="L64" s="126">
        <v>45810</v>
      </c>
      <c r="M64" s="126">
        <v>45810</v>
      </c>
      <c r="N64" s="126">
        <v>45817</v>
      </c>
      <c r="O64" s="126">
        <v>45817</v>
      </c>
      <c r="P64" s="77">
        <v>2058</v>
      </c>
      <c r="Q64" s="88" t="s">
        <v>205</v>
      </c>
      <c r="R64" s="44" t="s">
        <v>158</v>
      </c>
      <c r="S64" s="44"/>
    </row>
    <row r="65" spans="1:19" ht="99.75" x14ac:dyDescent="0.25">
      <c r="A65" s="21">
        <v>65</v>
      </c>
      <c r="B65" s="21">
        <v>30</v>
      </c>
      <c r="C65" s="24" t="str">
        <f t="shared" si="5"/>
        <v>1</v>
      </c>
      <c r="D65" s="34" t="s">
        <v>172</v>
      </c>
      <c r="E65" s="35" t="s">
        <v>272</v>
      </c>
      <c r="F65" s="29" t="str">
        <f t="shared" si="6"/>
        <v>02/06/2025</v>
      </c>
      <c r="G65" s="76">
        <v>62</v>
      </c>
      <c r="H65" s="67">
        <f t="shared" si="4"/>
        <v>5710.82</v>
      </c>
      <c r="I65" s="73" t="s">
        <v>374</v>
      </c>
      <c r="J65" s="113">
        <v>45810</v>
      </c>
      <c r="K65" s="21" t="s">
        <v>157</v>
      </c>
      <c r="L65" s="126">
        <v>45810</v>
      </c>
      <c r="M65" s="126">
        <v>45810</v>
      </c>
      <c r="N65" s="126">
        <v>45817</v>
      </c>
      <c r="O65" s="126">
        <v>45817</v>
      </c>
      <c r="P65" s="77">
        <v>2058</v>
      </c>
      <c r="Q65" s="88" t="s">
        <v>205</v>
      </c>
      <c r="R65" s="44" t="s">
        <v>158</v>
      </c>
      <c r="S65" s="81"/>
    </row>
    <row r="66" spans="1:19" ht="99.75" x14ac:dyDescent="0.25">
      <c r="A66" s="21">
        <v>66</v>
      </c>
      <c r="B66" s="21">
        <v>30</v>
      </c>
      <c r="C66" s="24" t="str">
        <f t="shared" si="5"/>
        <v>10</v>
      </c>
      <c r="D66" s="34" t="s">
        <v>168</v>
      </c>
      <c r="E66" s="35" t="s">
        <v>273</v>
      </c>
      <c r="F66" s="29" t="str">
        <f t="shared" si="6"/>
        <v>02/06/2025</v>
      </c>
      <c r="G66" s="76">
        <v>30</v>
      </c>
      <c r="H66" s="67">
        <f t="shared" si="4"/>
        <v>3000</v>
      </c>
      <c r="I66" s="73" t="s">
        <v>374</v>
      </c>
      <c r="J66" s="113">
        <v>45810</v>
      </c>
      <c r="K66" s="21" t="s">
        <v>157</v>
      </c>
      <c r="L66" s="126">
        <v>45810</v>
      </c>
      <c r="M66" s="126">
        <v>45810</v>
      </c>
      <c r="N66" s="126">
        <v>45817</v>
      </c>
      <c r="O66" s="126">
        <v>45817</v>
      </c>
      <c r="P66" s="77">
        <v>2058</v>
      </c>
      <c r="Q66" s="88" t="s">
        <v>205</v>
      </c>
      <c r="R66" s="44" t="s">
        <v>158</v>
      </c>
      <c r="S66" s="81"/>
    </row>
    <row r="67" spans="1:19" ht="99.75" x14ac:dyDescent="0.25">
      <c r="A67" s="21">
        <v>67</v>
      </c>
      <c r="B67" s="21">
        <v>30</v>
      </c>
      <c r="C67" s="24" t="str">
        <f t="shared" si="5"/>
        <v>6</v>
      </c>
      <c r="D67" s="34" t="s">
        <v>160</v>
      </c>
      <c r="E67" s="35" t="s">
        <v>274</v>
      </c>
      <c r="F67" s="29" t="str">
        <f t="shared" si="6"/>
        <v>03/06/2025</v>
      </c>
      <c r="G67" s="76">
        <v>200</v>
      </c>
      <c r="H67" s="68">
        <f t="shared" si="4"/>
        <v>6870</v>
      </c>
      <c r="I67" s="73" t="s">
        <v>387</v>
      </c>
      <c r="J67" s="113">
        <v>45810</v>
      </c>
      <c r="K67" s="21" t="s">
        <v>157</v>
      </c>
      <c r="L67" s="126">
        <v>45810</v>
      </c>
      <c r="M67" s="126">
        <v>45810</v>
      </c>
      <c r="N67" s="126">
        <v>45817</v>
      </c>
      <c r="O67" s="126">
        <v>45817</v>
      </c>
      <c r="P67" s="77">
        <v>2058</v>
      </c>
      <c r="Q67" s="88" t="s">
        <v>205</v>
      </c>
      <c r="R67" s="44" t="s">
        <v>158</v>
      </c>
      <c r="S67" s="81"/>
    </row>
    <row r="68" spans="1:19" ht="99.75" x14ac:dyDescent="0.25">
      <c r="A68" s="21">
        <v>68</v>
      </c>
      <c r="B68" s="21">
        <v>30</v>
      </c>
      <c r="C68" s="24" t="str">
        <f t="shared" si="5"/>
        <v>5</v>
      </c>
      <c r="D68" s="34" t="s">
        <v>156</v>
      </c>
      <c r="E68" s="35" t="s">
        <v>275</v>
      </c>
      <c r="F68" s="29" t="str">
        <f t="shared" si="6"/>
        <v>03/06/2025</v>
      </c>
      <c r="G68" s="76">
        <v>120</v>
      </c>
      <c r="H68" s="67">
        <f t="shared" si="4"/>
        <v>5275.2</v>
      </c>
      <c r="I68" s="73" t="s">
        <v>388</v>
      </c>
      <c r="J68" s="113">
        <v>45810</v>
      </c>
      <c r="K68" s="21" t="s">
        <v>157</v>
      </c>
      <c r="L68" s="126">
        <v>45810</v>
      </c>
      <c r="M68" s="126">
        <v>45810</v>
      </c>
      <c r="N68" s="126">
        <v>45817</v>
      </c>
      <c r="O68" s="126">
        <v>45817</v>
      </c>
      <c r="P68" s="77">
        <v>2058</v>
      </c>
      <c r="Q68" s="88" t="s">
        <v>205</v>
      </c>
      <c r="R68" s="44" t="s">
        <v>158</v>
      </c>
      <c r="S68" s="81"/>
    </row>
    <row r="69" spans="1:19" ht="99.75" x14ac:dyDescent="0.25">
      <c r="A69" s="21">
        <v>69</v>
      </c>
      <c r="B69" s="21">
        <v>30</v>
      </c>
      <c r="C69" s="24" t="str">
        <f t="shared" si="5"/>
        <v>12</v>
      </c>
      <c r="D69" s="34" t="s">
        <v>165</v>
      </c>
      <c r="E69" s="35" t="s">
        <v>275</v>
      </c>
      <c r="F69" s="29" t="str">
        <f t="shared" si="6"/>
        <v>03/06/2025</v>
      </c>
      <c r="G69" s="76">
        <v>200</v>
      </c>
      <c r="H69" s="67">
        <f t="shared" si="4"/>
        <v>6000</v>
      </c>
      <c r="I69" s="73" t="s">
        <v>388</v>
      </c>
      <c r="J69" s="113">
        <v>45810</v>
      </c>
      <c r="K69" s="21" t="s">
        <v>157</v>
      </c>
      <c r="L69" s="126">
        <v>45810</v>
      </c>
      <c r="M69" s="126">
        <v>45810</v>
      </c>
      <c r="N69" s="126">
        <v>45817</v>
      </c>
      <c r="O69" s="126">
        <v>45817</v>
      </c>
      <c r="P69" s="77">
        <v>2058</v>
      </c>
      <c r="Q69" s="88" t="s">
        <v>205</v>
      </c>
      <c r="R69" s="44" t="s">
        <v>158</v>
      </c>
      <c r="S69" s="81"/>
    </row>
    <row r="70" spans="1:19" ht="99.75" x14ac:dyDescent="0.25">
      <c r="A70" s="21">
        <v>70</v>
      </c>
      <c r="B70" s="21">
        <v>30</v>
      </c>
      <c r="C70" s="24" t="str">
        <f t="shared" si="5"/>
        <v>4</v>
      </c>
      <c r="D70" s="34" t="s">
        <v>167</v>
      </c>
      <c r="E70" s="35" t="s">
        <v>276</v>
      </c>
      <c r="F70" s="29" t="str">
        <f t="shared" si="6"/>
        <v>03/06/2025</v>
      </c>
      <c r="G70" s="76">
        <v>200</v>
      </c>
      <c r="H70" s="67">
        <f t="shared" si="4"/>
        <v>24288</v>
      </c>
      <c r="I70" s="73" t="s">
        <v>376</v>
      </c>
      <c r="J70" s="113">
        <v>45810</v>
      </c>
      <c r="K70" s="21" t="s">
        <v>157</v>
      </c>
      <c r="L70" s="126">
        <v>45810</v>
      </c>
      <c r="M70" s="126">
        <v>45810</v>
      </c>
      <c r="N70" s="126">
        <v>45817</v>
      </c>
      <c r="O70" s="126">
        <v>45817</v>
      </c>
      <c r="P70" s="77">
        <v>2058</v>
      </c>
      <c r="Q70" s="88" t="s">
        <v>205</v>
      </c>
      <c r="R70" s="44" t="s">
        <v>158</v>
      </c>
      <c r="S70" s="81"/>
    </row>
    <row r="71" spans="1:19" ht="99.75" x14ac:dyDescent="0.25">
      <c r="A71" s="21">
        <v>71</v>
      </c>
      <c r="B71" s="21">
        <v>30</v>
      </c>
      <c r="C71" s="24" t="str">
        <f t="shared" si="5"/>
        <v>10</v>
      </c>
      <c r="D71" s="34" t="s">
        <v>168</v>
      </c>
      <c r="E71" s="35" t="s">
        <v>276</v>
      </c>
      <c r="F71" s="29" t="str">
        <f t="shared" si="6"/>
        <v>03/06/2025</v>
      </c>
      <c r="G71" s="76">
        <v>180</v>
      </c>
      <c r="H71" s="67">
        <f t="shared" si="4"/>
        <v>18000</v>
      </c>
      <c r="I71" s="73" t="s">
        <v>376</v>
      </c>
      <c r="J71" s="113">
        <v>45810</v>
      </c>
      <c r="K71" s="21" t="s">
        <v>157</v>
      </c>
      <c r="L71" s="126">
        <v>45810</v>
      </c>
      <c r="M71" s="126">
        <v>45810</v>
      </c>
      <c r="N71" s="126">
        <v>45817</v>
      </c>
      <c r="O71" s="126">
        <v>45817</v>
      </c>
      <c r="P71" s="77">
        <v>2058</v>
      </c>
      <c r="Q71" s="88" t="s">
        <v>205</v>
      </c>
      <c r="R71" s="44" t="s">
        <v>158</v>
      </c>
      <c r="S71" s="81"/>
    </row>
    <row r="72" spans="1:19" ht="99.75" x14ac:dyDescent="0.25">
      <c r="A72" s="21">
        <v>72</v>
      </c>
      <c r="B72" s="21">
        <v>30</v>
      </c>
      <c r="C72" s="24" t="str">
        <f t="shared" si="5"/>
        <v>7</v>
      </c>
      <c r="D72" s="34" t="s">
        <v>159</v>
      </c>
      <c r="E72" s="35" t="s">
        <v>277</v>
      </c>
      <c r="F72" s="29" t="str">
        <f t="shared" si="6"/>
        <v>04/06/2025</v>
      </c>
      <c r="G72" s="76">
        <v>160</v>
      </c>
      <c r="H72" s="68">
        <f t="shared" si="4"/>
        <v>5496</v>
      </c>
      <c r="I72" s="73" t="s">
        <v>375</v>
      </c>
      <c r="J72" s="113">
        <v>45810</v>
      </c>
      <c r="K72" s="21" t="s">
        <v>157</v>
      </c>
      <c r="L72" s="126">
        <v>45810</v>
      </c>
      <c r="M72" s="126">
        <v>45810</v>
      </c>
      <c r="N72" s="126">
        <v>45817</v>
      </c>
      <c r="O72" s="126">
        <v>45817</v>
      </c>
      <c r="P72" s="77">
        <v>2058</v>
      </c>
      <c r="Q72" s="88" t="s">
        <v>205</v>
      </c>
      <c r="R72" s="44" t="s">
        <v>158</v>
      </c>
      <c r="S72" s="81"/>
    </row>
    <row r="73" spans="1:19" ht="99.75" x14ac:dyDescent="0.25">
      <c r="A73" s="21">
        <v>73</v>
      </c>
      <c r="B73" s="21">
        <v>30</v>
      </c>
      <c r="C73" s="24" t="str">
        <f t="shared" si="5"/>
        <v>12</v>
      </c>
      <c r="D73" s="34" t="s">
        <v>165</v>
      </c>
      <c r="E73" s="35" t="s">
        <v>278</v>
      </c>
      <c r="F73" s="29" t="str">
        <f t="shared" si="6"/>
        <v>04/06/2025</v>
      </c>
      <c r="G73" s="76">
        <v>50</v>
      </c>
      <c r="H73" s="68">
        <f t="shared" si="4"/>
        <v>1500</v>
      </c>
      <c r="I73" s="73" t="s">
        <v>389</v>
      </c>
      <c r="J73" s="113">
        <v>45810</v>
      </c>
      <c r="K73" s="21" t="s">
        <v>157</v>
      </c>
      <c r="L73" s="126">
        <v>45810</v>
      </c>
      <c r="M73" s="126">
        <v>45810</v>
      </c>
      <c r="N73" s="126">
        <v>45817</v>
      </c>
      <c r="O73" s="126">
        <v>45817</v>
      </c>
      <c r="P73" s="77">
        <v>2058</v>
      </c>
      <c r="Q73" s="88" t="s">
        <v>205</v>
      </c>
      <c r="R73" s="44" t="s">
        <v>158</v>
      </c>
      <c r="S73" s="81"/>
    </row>
    <row r="74" spans="1:19" ht="99.75" x14ac:dyDescent="0.25">
      <c r="A74" s="21">
        <v>74</v>
      </c>
      <c r="B74" s="21">
        <v>30</v>
      </c>
      <c r="C74" s="24" t="str">
        <f t="shared" si="5"/>
        <v>5</v>
      </c>
      <c r="D74" s="34" t="s">
        <v>156</v>
      </c>
      <c r="E74" s="35" t="s">
        <v>279</v>
      </c>
      <c r="F74" s="29" t="str">
        <f t="shared" si="6"/>
        <v>04/06/2025</v>
      </c>
      <c r="G74" s="76">
        <v>280</v>
      </c>
      <c r="H74" s="68">
        <f t="shared" si="4"/>
        <v>12308.800000000001</v>
      </c>
      <c r="I74" s="73" t="s">
        <v>390</v>
      </c>
      <c r="J74" s="113">
        <v>45810</v>
      </c>
      <c r="K74" s="21" t="s">
        <v>157</v>
      </c>
      <c r="L74" s="126">
        <v>45810</v>
      </c>
      <c r="M74" s="126">
        <v>45810</v>
      </c>
      <c r="N74" s="126">
        <v>45817</v>
      </c>
      <c r="O74" s="126">
        <v>45817</v>
      </c>
      <c r="P74" s="77">
        <v>2058</v>
      </c>
      <c r="Q74" s="88" t="s">
        <v>205</v>
      </c>
      <c r="R74" s="44" t="s">
        <v>158</v>
      </c>
      <c r="S74" s="81"/>
    </row>
    <row r="75" spans="1:19" ht="99.75" x14ac:dyDescent="0.25">
      <c r="A75" s="21">
        <v>75</v>
      </c>
      <c r="B75" s="21">
        <v>30</v>
      </c>
      <c r="C75" s="24" t="str">
        <f t="shared" si="5"/>
        <v>12</v>
      </c>
      <c r="D75" s="34" t="s">
        <v>165</v>
      </c>
      <c r="E75" s="35" t="s">
        <v>280</v>
      </c>
      <c r="F75" s="29" t="str">
        <f t="shared" si="6"/>
        <v>04/06/2025</v>
      </c>
      <c r="G75" s="76">
        <v>180</v>
      </c>
      <c r="H75" s="68">
        <f t="shared" si="4"/>
        <v>5400</v>
      </c>
      <c r="I75" s="73" t="s">
        <v>391</v>
      </c>
      <c r="J75" s="113">
        <v>45810</v>
      </c>
      <c r="K75" s="21" t="s">
        <v>157</v>
      </c>
      <c r="L75" s="126">
        <v>45810</v>
      </c>
      <c r="M75" s="126">
        <v>45810</v>
      </c>
      <c r="N75" s="126">
        <v>45817</v>
      </c>
      <c r="O75" s="126">
        <v>45817</v>
      </c>
      <c r="P75" s="77">
        <v>2058</v>
      </c>
      <c r="Q75" s="88" t="s">
        <v>205</v>
      </c>
      <c r="R75" s="44" t="s">
        <v>158</v>
      </c>
      <c r="S75" s="81"/>
    </row>
    <row r="76" spans="1:19" ht="99.75" x14ac:dyDescent="0.25">
      <c r="A76" s="21">
        <v>76</v>
      </c>
      <c r="B76" s="21">
        <v>30</v>
      </c>
      <c r="C76" s="24" t="str">
        <f t="shared" si="5"/>
        <v>6</v>
      </c>
      <c r="D76" s="34" t="s">
        <v>160</v>
      </c>
      <c r="E76" s="35" t="s">
        <v>281</v>
      </c>
      <c r="F76" s="29" t="str">
        <f t="shared" si="6"/>
        <v>04/06/2025</v>
      </c>
      <c r="G76" s="76">
        <v>300</v>
      </c>
      <c r="H76" s="68">
        <f t="shared" si="4"/>
        <v>10305</v>
      </c>
      <c r="I76" s="73" t="s">
        <v>387</v>
      </c>
      <c r="J76" s="113">
        <v>45810</v>
      </c>
      <c r="K76" s="21" t="s">
        <v>157</v>
      </c>
      <c r="L76" s="126">
        <v>45810</v>
      </c>
      <c r="M76" s="126">
        <v>45810</v>
      </c>
      <c r="N76" s="126">
        <v>45817</v>
      </c>
      <c r="O76" s="126">
        <v>45817</v>
      </c>
      <c r="P76" s="77">
        <v>2058</v>
      </c>
      <c r="Q76" s="88" t="s">
        <v>205</v>
      </c>
      <c r="R76" s="44" t="s">
        <v>158</v>
      </c>
      <c r="S76" s="81"/>
    </row>
    <row r="77" spans="1:19" ht="99.75" x14ac:dyDescent="0.25">
      <c r="A77" s="21">
        <v>77</v>
      </c>
      <c r="B77" s="21">
        <v>30</v>
      </c>
      <c r="C77" s="24" t="str">
        <f t="shared" si="5"/>
        <v>5</v>
      </c>
      <c r="D77" s="34" t="s">
        <v>156</v>
      </c>
      <c r="E77" s="35" t="s">
        <v>282</v>
      </c>
      <c r="F77" s="29" t="str">
        <f t="shared" si="6"/>
        <v>04/06/2025</v>
      </c>
      <c r="G77" s="76">
        <v>100</v>
      </c>
      <c r="H77" s="67">
        <f t="shared" si="4"/>
        <v>4396</v>
      </c>
      <c r="I77" s="73" t="s">
        <v>388</v>
      </c>
      <c r="J77" s="113">
        <v>45810</v>
      </c>
      <c r="K77" s="21" t="s">
        <v>157</v>
      </c>
      <c r="L77" s="126">
        <v>45810</v>
      </c>
      <c r="M77" s="126">
        <v>45810</v>
      </c>
      <c r="N77" s="126">
        <v>45817</v>
      </c>
      <c r="O77" s="126">
        <v>45817</v>
      </c>
      <c r="P77" s="77">
        <v>2058</v>
      </c>
      <c r="Q77" s="88" t="s">
        <v>205</v>
      </c>
      <c r="R77" s="44" t="s">
        <v>158</v>
      </c>
      <c r="S77" s="81"/>
    </row>
    <row r="78" spans="1:19" ht="99.75" x14ac:dyDescent="0.25">
      <c r="A78" s="21">
        <v>78</v>
      </c>
      <c r="B78" s="21">
        <v>30</v>
      </c>
      <c r="C78" s="24" t="str">
        <f t="shared" si="5"/>
        <v>12</v>
      </c>
      <c r="D78" s="34" t="s">
        <v>165</v>
      </c>
      <c r="E78" s="35" t="s">
        <v>283</v>
      </c>
      <c r="F78" s="29" t="str">
        <f t="shared" si="6"/>
        <v>04/06/2025</v>
      </c>
      <c r="G78" s="76">
        <v>200</v>
      </c>
      <c r="H78" s="67">
        <f t="shared" ref="H78:H109" si="7">IF(ISERROR(IF(D78="9-Serviço de Apoio",G78*6.87,IF(D78="8-Café da Manhã",G78*65.44,IF(D78="7-Lunch Box",G78*34.35,IF(D78="4-Coquetel",G78*121.44,IF(D78="1-Empratado especial",G78*92.11,IF(D78="2-Empratado para almoço",G78*78.05,IF(D78="3-Buffet",G78*94.04,IF(D78="5-Coffee Break",G78*43.96,IF(D78="6-Refeições Simplificadas",G78*34.35,IF(D78="10-Serviço de Bebida Especial",G78*100,IF(D78="11-Serviço de Apoio Especial",G78*15,IF(D78="12-Serviço de Apoio Vip",G78*30,IF(D78="13-Brunch",G78*60,"")))))))))))))),"-",IF(D78="9-Serviço de Apoio",G78*6.87,IF(D78="8-Café da Manhã",G78*65.44,IF(D78="7-Lunch Box",G78*34.35,IF(D78="4-Coquetel",G78*121.44,IF(D78="1-Empratado especial",G78*92.11,IF(D78="2-Empratado para almoço",G78*78.05,IF(D78="3-Buffet",G78*94.04,IF(D78="5-Coffee Break",G78*43.96,IF(D78="6-Refeições Simplificadas",G78*34.35,IF(D78="10-Serviço de Bebida Especial",G78*100,IF(D78="11-Serviço de Apoio Especial",G78*15,IF(D78="12-Serviço de Apoio Vip",G78*30,IF(D78="13-Brunch",G78*60,""))))))))))))))</f>
        <v>6000</v>
      </c>
      <c r="I78" s="73" t="s">
        <v>388</v>
      </c>
      <c r="J78" s="113">
        <v>45810</v>
      </c>
      <c r="K78" s="21" t="s">
        <v>157</v>
      </c>
      <c r="L78" s="126">
        <v>45810</v>
      </c>
      <c r="M78" s="126">
        <v>45810</v>
      </c>
      <c r="N78" s="126">
        <v>45817</v>
      </c>
      <c r="O78" s="126">
        <v>45817</v>
      </c>
      <c r="P78" s="77">
        <v>2058</v>
      </c>
      <c r="Q78" s="88" t="s">
        <v>205</v>
      </c>
      <c r="R78" s="44" t="s">
        <v>158</v>
      </c>
      <c r="S78" s="81"/>
    </row>
    <row r="79" spans="1:19" ht="99.75" x14ac:dyDescent="0.25">
      <c r="A79" s="21">
        <v>79</v>
      </c>
      <c r="B79" s="21">
        <v>30</v>
      </c>
      <c r="C79" s="24" t="str">
        <f t="shared" si="5"/>
        <v>5</v>
      </c>
      <c r="D79" s="34" t="s">
        <v>156</v>
      </c>
      <c r="E79" s="35" t="s">
        <v>284</v>
      </c>
      <c r="F79" s="29" t="str">
        <f t="shared" si="6"/>
        <v>05/06/2025</v>
      </c>
      <c r="G79" s="76">
        <v>280</v>
      </c>
      <c r="H79" s="68">
        <f t="shared" si="7"/>
        <v>12308.800000000001</v>
      </c>
      <c r="I79" s="73" t="s">
        <v>390</v>
      </c>
      <c r="J79" s="113">
        <v>45810</v>
      </c>
      <c r="K79" s="21" t="s">
        <v>157</v>
      </c>
      <c r="L79" s="126">
        <v>45810</v>
      </c>
      <c r="M79" s="126">
        <v>45810</v>
      </c>
      <c r="N79" s="126">
        <v>45817</v>
      </c>
      <c r="O79" s="126">
        <v>45817</v>
      </c>
      <c r="P79" s="77">
        <v>2058</v>
      </c>
      <c r="Q79" s="88" t="s">
        <v>205</v>
      </c>
      <c r="R79" s="44" t="s">
        <v>158</v>
      </c>
      <c r="S79" s="81"/>
    </row>
    <row r="80" spans="1:19" ht="99.75" x14ac:dyDescent="0.25">
      <c r="A80" s="21">
        <v>80</v>
      </c>
      <c r="B80" s="21">
        <v>30</v>
      </c>
      <c r="C80" s="24" t="str">
        <f t="shared" si="5"/>
        <v>12</v>
      </c>
      <c r="D80" s="34" t="s">
        <v>165</v>
      </c>
      <c r="E80" s="35" t="s">
        <v>285</v>
      </c>
      <c r="F80" s="29" t="str">
        <f t="shared" si="6"/>
        <v>05/06/2025</v>
      </c>
      <c r="G80" s="76">
        <v>180</v>
      </c>
      <c r="H80" s="68">
        <f t="shared" si="7"/>
        <v>5400</v>
      </c>
      <c r="I80" s="73" t="s">
        <v>391</v>
      </c>
      <c r="J80" s="113">
        <v>45810</v>
      </c>
      <c r="K80" s="21" t="s">
        <v>157</v>
      </c>
      <c r="L80" s="126">
        <v>45810</v>
      </c>
      <c r="M80" s="126">
        <v>45810</v>
      </c>
      <c r="N80" s="126">
        <v>45817</v>
      </c>
      <c r="O80" s="126">
        <v>45817</v>
      </c>
      <c r="P80" s="77">
        <v>2058</v>
      </c>
      <c r="Q80" s="88" t="s">
        <v>205</v>
      </c>
      <c r="R80" s="44" t="s">
        <v>158</v>
      </c>
      <c r="S80" s="81"/>
    </row>
    <row r="81" spans="1:19" ht="99.75" x14ac:dyDescent="0.25">
      <c r="A81" s="21">
        <v>81</v>
      </c>
      <c r="B81" s="21">
        <v>30</v>
      </c>
      <c r="C81" s="24" t="str">
        <f t="shared" si="5"/>
        <v>6</v>
      </c>
      <c r="D81" s="34" t="s">
        <v>160</v>
      </c>
      <c r="E81" s="35" t="s">
        <v>286</v>
      </c>
      <c r="F81" s="29" t="str">
        <f t="shared" si="6"/>
        <v>05/06/2025</v>
      </c>
      <c r="G81" s="76">
        <v>300</v>
      </c>
      <c r="H81" s="68">
        <f t="shared" si="7"/>
        <v>10305</v>
      </c>
      <c r="I81" s="73" t="s">
        <v>387</v>
      </c>
      <c r="J81" s="113">
        <v>45810</v>
      </c>
      <c r="K81" s="21" t="s">
        <v>157</v>
      </c>
      <c r="L81" s="126">
        <v>45810</v>
      </c>
      <c r="M81" s="126">
        <v>45810</v>
      </c>
      <c r="N81" s="126">
        <v>45817</v>
      </c>
      <c r="O81" s="126">
        <v>45817</v>
      </c>
      <c r="P81" s="77">
        <v>2058</v>
      </c>
      <c r="Q81" s="88" t="s">
        <v>205</v>
      </c>
      <c r="R81" s="44" t="s">
        <v>158</v>
      </c>
      <c r="S81" s="81"/>
    </row>
    <row r="82" spans="1:19" s="50" customFormat="1" ht="99.75" x14ac:dyDescent="0.25">
      <c r="A82" s="21">
        <v>82</v>
      </c>
      <c r="B82" s="21">
        <v>30</v>
      </c>
      <c r="C82" s="24" t="str">
        <f t="shared" si="5"/>
        <v>5</v>
      </c>
      <c r="D82" s="48" t="s">
        <v>156</v>
      </c>
      <c r="E82" s="49" t="s">
        <v>287</v>
      </c>
      <c r="F82" s="29" t="str">
        <f t="shared" si="6"/>
        <v>05/06/2025</v>
      </c>
      <c r="G82" s="78">
        <v>200</v>
      </c>
      <c r="H82" s="70">
        <f t="shared" si="7"/>
        <v>8792</v>
      </c>
      <c r="I82" s="74" t="s">
        <v>388</v>
      </c>
      <c r="J82" s="113">
        <v>45810</v>
      </c>
      <c r="K82" s="23" t="s">
        <v>157</v>
      </c>
      <c r="L82" s="126">
        <v>45810</v>
      </c>
      <c r="M82" s="126">
        <v>45810</v>
      </c>
      <c r="N82" s="126">
        <v>45817</v>
      </c>
      <c r="O82" s="126">
        <v>45817</v>
      </c>
      <c r="P82" s="77">
        <v>2058</v>
      </c>
      <c r="Q82" s="88" t="s">
        <v>205</v>
      </c>
      <c r="R82" s="44" t="s">
        <v>158</v>
      </c>
      <c r="S82" s="81"/>
    </row>
    <row r="83" spans="1:19" s="50" customFormat="1" ht="99.75" x14ac:dyDescent="0.25">
      <c r="A83" s="21">
        <v>83</v>
      </c>
      <c r="B83" s="21">
        <v>30</v>
      </c>
      <c r="C83" s="24" t="str">
        <f t="shared" si="5"/>
        <v>12</v>
      </c>
      <c r="D83" s="48" t="s">
        <v>165</v>
      </c>
      <c r="E83" s="49" t="s">
        <v>287</v>
      </c>
      <c r="F83" s="29" t="str">
        <f t="shared" si="6"/>
        <v>05/06/2025</v>
      </c>
      <c r="G83" s="78">
        <v>400</v>
      </c>
      <c r="H83" s="70">
        <f t="shared" si="7"/>
        <v>12000</v>
      </c>
      <c r="I83" s="74" t="s">
        <v>388</v>
      </c>
      <c r="J83" s="113">
        <v>45810</v>
      </c>
      <c r="K83" s="23" t="s">
        <v>157</v>
      </c>
      <c r="L83" s="126">
        <v>45810</v>
      </c>
      <c r="M83" s="126">
        <v>45810</v>
      </c>
      <c r="N83" s="126">
        <v>45817</v>
      </c>
      <c r="O83" s="126">
        <v>45817</v>
      </c>
      <c r="P83" s="77">
        <v>2058</v>
      </c>
      <c r="Q83" s="88" t="s">
        <v>205</v>
      </c>
      <c r="R83" s="44" t="s">
        <v>158</v>
      </c>
      <c r="S83" s="22"/>
    </row>
    <row r="84" spans="1:19" s="50" customFormat="1" ht="99.75" x14ac:dyDescent="0.25">
      <c r="A84" s="21">
        <v>84</v>
      </c>
      <c r="B84" s="23">
        <v>31</v>
      </c>
      <c r="C84" s="24" t="str">
        <f t="shared" si="5"/>
        <v>6</v>
      </c>
      <c r="D84" s="51" t="s">
        <v>160</v>
      </c>
      <c r="E84" s="52" t="s">
        <v>288</v>
      </c>
      <c r="F84" s="29" t="str">
        <f t="shared" si="6"/>
        <v>05/06/2025</v>
      </c>
      <c r="G84" s="78">
        <v>20</v>
      </c>
      <c r="H84" s="71">
        <f t="shared" si="7"/>
        <v>687</v>
      </c>
      <c r="I84" s="74" t="s">
        <v>392</v>
      </c>
      <c r="J84" s="113"/>
      <c r="K84" s="23" t="s">
        <v>157</v>
      </c>
      <c r="L84" s="126"/>
      <c r="M84" s="126"/>
      <c r="N84" s="126"/>
      <c r="O84" s="126"/>
      <c r="P84" s="78">
        <v>2058</v>
      </c>
      <c r="Q84" s="57" t="s">
        <v>206</v>
      </c>
      <c r="R84" s="23" t="s">
        <v>158</v>
      </c>
      <c r="S84" s="23"/>
    </row>
    <row r="85" spans="1:19" s="50" customFormat="1" ht="85.5" x14ac:dyDescent="0.25">
      <c r="A85" s="21">
        <v>85</v>
      </c>
      <c r="B85" s="23">
        <v>32</v>
      </c>
      <c r="C85" s="24" t="str">
        <f t="shared" si="5"/>
        <v>8</v>
      </c>
      <c r="D85" s="53" t="s">
        <v>164</v>
      </c>
      <c r="E85" s="52" t="s">
        <v>289</v>
      </c>
      <c r="F85" s="29" t="str">
        <f t="shared" si="6"/>
        <v>10/06/2025</v>
      </c>
      <c r="G85" s="78">
        <v>30</v>
      </c>
      <c r="H85" s="71">
        <f t="shared" si="7"/>
        <v>1963.1999999999998</v>
      </c>
      <c r="I85" s="74" t="s">
        <v>374</v>
      </c>
      <c r="J85" s="114">
        <v>45791</v>
      </c>
      <c r="K85" s="23" t="s">
        <v>157</v>
      </c>
      <c r="L85" s="127">
        <v>45804</v>
      </c>
      <c r="M85" s="127">
        <v>45804</v>
      </c>
      <c r="N85" s="127">
        <v>45818</v>
      </c>
      <c r="O85" s="127">
        <v>45818</v>
      </c>
      <c r="P85" s="78">
        <v>2056</v>
      </c>
      <c r="Q85" s="57" t="s">
        <v>207</v>
      </c>
      <c r="R85" s="23" t="s">
        <v>158</v>
      </c>
      <c r="S85" s="23"/>
    </row>
    <row r="86" spans="1:19" ht="85.5" x14ac:dyDescent="0.25">
      <c r="A86" s="21">
        <v>86</v>
      </c>
      <c r="B86" s="21">
        <v>33</v>
      </c>
      <c r="C86" s="24" t="str">
        <f t="shared" si="5"/>
        <v>7</v>
      </c>
      <c r="D86" s="34" t="s">
        <v>159</v>
      </c>
      <c r="E86" s="35" t="s">
        <v>325</v>
      </c>
      <c r="F86" s="29" t="str">
        <f t="shared" si="6"/>
        <v>11/06/2025</v>
      </c>
      <c r="G86" s="76">
        <v>61</v>
      </c>
      <c r="H86" s="67">
        <f t="shared" si="7"/>
        <v>2095.35</v>
      </c>
      <c r="I86" s="73" t="s">
        <v>393</v>
      </c>
      <c r="J86" s="110">
        <v>45814</v>
      </c>
      <c r="K86" s="21" t="s">
        <v>157</v>
      </c>
      <c r="L86" s="124">
        <v>45814</v>
      </c>
      <c r="M86" s="124">
        <v>45817</v>
      </c>
      <c r="N86" s="124">
        <v>45824</v>
      </c>
      <c r="O86" s="124">
        <v>45824</v>
      </c>
      <c r="P86" s="77">
        <v>1716</v>
      </c>
      <c r="Q86" s="88" t="s">
        <v>208</v>
      </c>
      <c r="R86" s="44" t="s">
        <v>158</v>
      </c>
      <c r="S86" s="96"/>
    </row>
    <row r="87" spans="1:19" ht="85.5" x14ac:dyDescent="0.25">
      <c r="A87" s="21">
        <v>87</v>
      </c>
      <c r="B87" s="21">
        <v>33</v>
      </c>
      <c r="C87" s="24" t="str">
        <f t="shared" si="5"/>
        <v>7</v>
      </c>
      <c r="D87" s="34" t="s">
        <v>159</v>
      </c>
      <c r="E87" s="35" t="s">
        <v>326</v>
      </c>
      <c r="F87" s="29" t="str">
        <f t="shared" si="6"/>
        <v>13/06/2025</v>
      </c>
      <c r="G87" s="76">
        <v>61</v>
      </c>
      <c r="H87" s="67">
        <f t="shared" si="7"/>
        <v>2095.35</v>
      </c>
      <c r="I87" s="73" t="s">
        <v>394</v>
      </c>
      <c r="J87" s="110">
        <v>45814</v>
      </c>
      <c r="K87" s="21" t="s">
        <v>157</v>
      </c>
      <c r="L87" s="124">
        <v>45814</v>
      </c>
      <c r="M87" s="124">
        <v>45817</v>
      </c>
      <c r="N87" s="124">
        <v>45824</v>
      </c>
      <c r="O87" s="124">
        <v>45824</v>
      </c>
      <c r="P87" s="77">
        <v>1716</v>
      </c>
      <c r="Q87" s="88" t="s">
        <v>208</v>
      </c>
      <c r="R87" s="44" t="s">
        <v>158</v>
      </c>
      <c r="S87" s="98"/>
    </row>
    <row r="88" spans="1:19" ht="85.5" x14ac:dyDescent="0.25">
      <c r="A88" s="21">
        <v>88</v>
      </c>
      <c r="B88" s="21">
        <v>34</v>
      </c>
      <c r="C88" s="24" t="str">
        <f t="shared" si="5"/>
        <v>6</v>
      </c>
      <c r="D88" s="34" t="s">
        <v>160</v>
      </c>
      <c r="E88" s="35" t="s">
        <v>327</v>
      </c>
      <c r="F88" s="29" t="str">
        <f t="shared" si="6"/>
        <v>03/07/2025</v>
      </c>
      <c r="G88" s="76">
        <v>60</v>
      </c>
      <c r="H88" s="67">
        <f t="shared" si="7"/>
        <v>2061</v>
      </c>
      <c r="I88" s="73" t="s">
        <v>393</v>
      </c>
      <c r="J88" s="110">
        <v>45817</v>
      </c>
      <c r="K88" s="21" t="s">
        <v>157</v>
      </c>
      <c r="L88" s="124">
        <v>45818</v>
      </c>
      <c r="M88" s="124">
        <v>45828</v>
      </c>
      <c r="N88" s="124">
        <v>45845</v>
      </c>
      <c r="O88" s="124">
        <v>45846</v>
      </c>
      <c r="P88" s="77">
        <v>2148</v>
      </c>
      <c r="Q88" s="88" t="s">
        <v>209</v>
      </c>
      <c r="R88" s="44" t="s">
        <v>158</v>
      </c>
      <c r="S88" s="96"/>
    </row>
    <row r="89" spans="1:19" ht="85.5" x14ac:dyDescent="0.25">
      <c r="A89" s="21">
        <v>89</v>
      </c>
      <c r="B89" s="21">
        <v>34</v>
      </c>
      <c r="C89" s="24" t="str">
        <f t="shared" si="5"/>
        <v>5</v>
      </c>
      <c r="D89" s="34" t="s">
        <v>156</v>
      </c>
      <c r="E89" s="35" t="s">
        <v>328</v>
      </c>
      <c r="F89" s="29" t="str">
        <f t="shared" si="6"/>
        <v>03/07/2025</v>
      </c>
      <c r="G89" s="76">
        <v>60</v>
      </c>
      <c r="H89" s="67">
        <f t="shared" si="7"/>
        <v>2637.6</v>
      </c>
      <c r="I89" s="73" t="s">
        <v>393</v>
      </c>
      <c r="J89" s="110">
        <v>45817</v>
      </c>
      <c r="K89" s="21" t="s">
        <v>157</v>
      </c>
      <c r="L89" s="124">
        <v>45818</v>
      </c>
      <c r="M89" s="124">
        <v>45828</v>
      </c>
      <c r="N89" s="124">
        <v>45845</v>
      </c>
      <c r="O89" s="124">
        <v>45846</v>
      </c>
      <c r="P89" s="77">
        <v>2148</v>
      </c>
      <c r="Q89" s="88" t="s">
        <v>209</v>
      </c>
      <c r="R89" s="44" t="s">
        <v>158</v>
      </c>
      <c r="S89" s="98"/>
    </row>
    <row r="90" spans="1:19" ht="85.5" x14ac:dyDescent="0.25">
      <c r="A90" s="21">
        <v>90</v>
      </c>
      <c r="B90" s="21">
        <v>35</v>
      </c>
      <c r="C90" s="24" t="str">
        <f t="shared" si="5"/>
        <v>7</v>
      </c>
      <c r="D90" s="34" t="s">
        <v>159</v>
      </c>
      <c r="E90" s="35" t="s">
        <v>329</v>
      </c>
      <c r="F90" s="29" t="str">
        <f t="shared" si="6"/>
        <v>02/07/2025</v>
      </c>
      <c r="G90" s="76">
        <v>110</v>
      </c>
      <c r="H90" s="67">
        <f t="shared" si="7"/>
        <v>3778.5</v>
      </c>
      <c r="I90" s="73" t="s">
        <v>379</v>
      </c>
      <c r="J90" s="110">
        <v>45833</v>
      </c>
      <c r="K90" s="21" t="s">
        <v>157</v>
      </c>
      <c r="L90" s="124">
        <v>45834</v>
      </c>
      <c r="M90" s="124">
        <v>45834</v>
      </c>
      <c r="N90" s="124">
        <v>45845</v>
      </c>
      <c r="O90" s="124">
        <v>45845</v>
      </c>
      <c r="P90" s="77">
        <v>1751</v>
      </c>
      <c r="Q90" s="88" t="s">
        <v>210</v>
      </c>
      <c r="R90" s="44" t="s">
        <v>158</v>
      </c>
      <c r="S90" s="96"/>
    </row>
    <row r="91" spans="1:19" ht="85.5" x14ac:dyDescent="0.25">
      <c r="A91" s="21">
        <v>91</v>
      </c>
      <c r="B91" s="21">
        <v>35</v>
      </c>
      <c r="C91" s="24" t="str">
        <f t="shared" si="5"/>
        <v>7</v>
      </c>
      <c r="D91" s="34" t="s">
        <v>159</v>
      </c>
      <c r="E91" s="35" t="s">
        <v>330</v>
      </c>
      <c r="F91" s="29" t="str">
        <f t="shared" si="6"/>
        <v>03/07/2025</v>
      </c>
      <c r="G91" s="76">
        <v>110</v>
      </c>
      <c r="H91" s="67">
        <f t="shared" si="7"/>
        <v>3778.5</v>
      </c>
      <c r="I91" s="73" t="s">
        <v>379</v>
      </c>
      <c r="J91" s="110">
        <v>45833</v>
      </c>
      <c r="K91" s="21" t="s">
        <v>157</v>
      </c>
      <c r="L91" s="124">
        <v>45834</v>
      </c>
      <c r="M91" s="124">
        <v>45834</v>
      </c>
      <c r="N91" s="124">
        <v>45845</v>
      </c>
      <c r="O91" s="124">
        <v>45845</v>
      </c>
      <c r="P91" s="77">
        <v>1751</v>
      </c>
      <c r="Q91" s="88" t="s">
        <v>210</v>
      </c>
      <c r="R91" s="44" t="s">
        <v>158</v>
      </c>
      <c r="S91" s="98"/>
    </row>
    <row r="92" spans="1:19" ht="85.5" x14ac:dyDescent="0.25">
      <c r="A92" s="21">
        <v>92</v>
      </c>
      <c r="B92" s="21">
        <v>36</v>
      </c>
      <c r="C92" s="24" t="str">
        <f t="shared" si="5"/>
        <v>2</v>
      </c>
      <c r="D92" s="34" t="s">
        <v>161</v>
      </c>
      <c r="E92" s="35">
        <v>45840</v>
      </c>
      <c r="F92" s="29" t="str">
        <f t="shared" si="6"/>
        <v>02/07/2025</v>
      </c>
      <c r="G92" s="76">
        <v>10</v>
      </c>
      <c r="H92" s="67">
        <f t="shared" si="7"/>
        <v>780.5</v>
      </c>
      <c r="I92" s="73"/>
      <c r="J92" s="110">
        <v>45834</v>
      </c>
      <c r="K92" s="21" t="s">
        <v>157</v>
      </c>
      <c r="L92" s="124"/>
      <c r="M92" s="124"/>
      <c r="N92" s="124">
        <v>45845</v>
      </c>
      <c r="O92" s="124">
        <v>45845</v>
      </c>
      <c r="P92" s="77">
        <v>1752</v>
      </c>
      <c r="Q92" s="88" t="s">
        <v>211</v>
      </c>
      <c r="R92" s="44" t="s">
        <v>158</v>
      </c>
      <c r="S92" s="96"/>
    </row>
    <row r="93" spans="1:19" ht="85.5" x14ac:dyDescent="0.25">
      <c r="A93" s="21">
        <v>93</v>
      </c>
      <c r="B93" s="21">
        <v>36</v>
      </c>
      <c r="C93" s="24" t="str">
        <f t="shared" si="5"/>
        <v>2</v>
      </c>
      <c r="D93" s="34" t="s">
        <v>161</v>
      </c>
      <c r="E93" s="35">
        <v>45841</v>
      </c>
      <c r="F93" s="29" t="str">
        <f t="shared" si="6"/>
        <v>03/07/2025</v>
      </c>
      <c r="G93" s="76">
        <v>10</v>
      </c>
      <c r="H93" s="67">
        <f t="shared" si="7"/>
        <v>780.5</v>
      </c>
      <c r="I93" s="73"/>
      <c r="J93" s="110">
        <v>45834</v>
      </c>
      <c r="K93" s="21" t="s">
        <v>157</v>
      </c>
      <c r="L93" s="124"/>
      <c r="M93" s="124"/>
      <c r="N93" s="124">
        <v>45845</v>
      </c>
      <c r="O93" s="124">
        <v>45845</v>
      </c>
      <c r="P93" s="77">
        <v>1752</v>
      </c>
      <c r="Q93" s="88" t="s">
        <v>211</v>
      </c>
      <c r="R93" s="44" t="s">
        <v>158</v>
      </c>
      <c r="S93" s="98"/>
    </row>
    <row r="94" spans="1:19" ht="99.75" x14ac:dyDescent="0.25">
      <c r="A94" s="21">
        <v>94</v>
      </c>
      <c r="B94" s="21">
        <v>37</v>
      </c>
      <c r="C94" s="24" t="str">
        <f t="shared" si="5"/>
        <v>6</v>
      </c>
      <c r="D94" s="54" t="s">
        <v>160</v>
      </c>
      <c r="E94" s="35" t="s">
        <v>331</v>
      </c>
      <c r="F94" s="29" t="str">
        <f t="shared" si="6"/>
        <v>06/08/2025</v>
      </c>
      <c r="G94" s="77">
        <v>25</v>
      </c>
      <c r="H94" s="72">
        <f t="shared" si="7"/>
        <v>858.75</v>
      </c>
      <c r="I94" s="73" t="s">
        <v>395</v>
      </c>
      <c r="J94" s="110">
        <v>45861</v>
      </c>
      <c r="K94" s="21" t="s">
        <v>157</v>
      </c>
      <c r="L94" s="124">
        <v>45866</v>
      </c>
      <c r="M94" s="124">
        <v>45867</v>
      </c>
      <c r="N94" s="124">
        <v>45887</v>
      </c>
      <c r="O94" s="124">
        <v>45888</v>
      </c>
      <c r="P94" s="77">
        <v>1858</v>
      </c>
      <c r="Q94" s="88" t="s">
        <v>212</v>
      </c>
      <c r="R94" s="44" t="s">
        <v>158</v>
      </c>
      <c r="S94" s="101"/>
    </row>
    <row r="95" spans="1:19" ht="99.75" x14ac:dyDescent="0.25">
      <c r="A95" s="21">
        <v>95</v>
      </c>
      <c r="B95" s="21">
        <v>37</v>
      </c>
      <c r="C95" s="24" t="str">
        <f t="shared" ref="C95:C141" si="8">LEFT(D95,FIND("-",D95)-1)</f>
        <v>7</v>
      </c>
      <c r="D95" s="54" t="s">
        <v>159</v>
      </c>
      <c r="E95" s="43" t="s">
        <v>332</v>
      </c>
      <c r="F95" s="29" t="str">
        <f t="shared" ref="F95:F141" si="9">TEXT(LEFT(E95,10),"DD/MM/AAAA")</f>
        <v>12/08/2025</v>
      </c>
      <c r="G95" s="77">
        <v>37</v>
      </c>
      <c r="H95" s="72">
        <f t="shared" si="7"/>
        <v>1270.95</v>
      </c>
      <c r="I95" s="73" t="s">
        <v>395</v>
      </c>
      <c r="J95" s="110">
        <v>45861</v>
      </c>
      <c r="K95" s="21" t="s">
        <v>157</v>
      </c>
      <c r="L95" s="124">
        <v>45866</v>
      </c>
      <c r="M95" s="124">
        <v>45867</v>
      </c>
      <c r="N95" s="124">
        <v>45887</v>
      </c>
      <c r="O95" s="124">
        <v>45888</v>
      </c>
      <c r="P95" s="77">
        <v>1858</v>
      </c>
      <c r="Q95" s="88" t="s">
        <v>212</v>
      </c>
      <c r="R95" s="44" t="s">
        <v>158</v>
      </c>
      <c r="S95" s="101"/>
    </row>
    <row r="96" spans="1:19" ht="99.75" x14ac:dyDescent="0.25">
      <c r="A96" s="21">
        <v>96</v>
      </c>
      <c r="B96" s="21">
        <v>37</v>
      </c>
      <c r="C96" s="24" t="str">
        <f t="shared" si="8"/>
        <v>7</v>
      </c>
      <c r="D96" s="54" t="s">
        <v>159</v>
      </c>
      <c r="E96" s="43" t="s">
        <v>290</v>
      </c>
      <c r="F96" s="29" t="str">
        <f t="shared" si="9"/>
        <v>13/08/2025</v>
      </c>
      <c r="G96" s="77">
        <v>20</v>
      </c>
      <c r="H96" s="72">
        <f t="shared" si="7"/>
        <v>687</v>
      </c>
      <c r="I96" s="73" t="s">
        <v>395</v>
      </c>
      <c r="J96" s="110">
        <v>45861</v>
      </c>
      <c r="K96" s="21" t="s">
        <v>157</v>
      </c>
      <c r="L96" s="124">
        <v>45866</v>
      </c>
      <c r="M96" s="124">
        <v>45867</v>
      </c>
      <c r="N96" s="124">
        <v>45887</v>
      </c>
      <c r="O96" s="124">
        <v>45888</v>
      </c>
      <c r="P96" s="77">
        <v>1858</v>
      </c>
      <c r="Q96" s="88" t="s">
        <v>212</v>
      </c>
      <c r="R96" s="44" t="s">
        <v>158</v>
      </c>
      <c r="S96" s="101"/>
    </row>
    <row r="97" spans="1:19" ht="99.75" x14ac:dyDescent="0.25">
      <c r="A97" s="21">
        <v>97</v>
      </c>
      <c r="B97" s="21">
        <v>38</v>
      </c>
      <c r="C97" s="24" t="str">
        <f t="shared" si="8"/>
        <v>4</v>
      </c>
      <c r="D97" s="54" t="s">
        <v>167</v>
      </c>
      <c r="E97" s="43" t="s">
        <v>333</v>
      </c>
      <c r="F97" s="29" t="str">
        <f t="shared" si="9"/>
        <v>20/08/2025</v>
      </c>
      <c r="G97" s="77">
        <v>250</v>
      </c>
      <c r="H97" s="72">
        <f t="shared" si="7"/>
        <v>30360</v>
      </c>
      <c r="I97" s="73" t="s">
        <v>376</v>
      </c>
      <c r="J97" s="110">
        <v>45839</v>
      </c>
      <c r="K97" s="44" t="s">
        <v>157</v>
      </c>
      <c r="L97" s="124">
        <v>45841</v>
      </c>
      <c r="M97" s="124">
        <v>45863</v>
      </c>
      <c r="N97" s="124">
        <v>45890</v>
      </c>
      <c r="O97" s="124">
        <v>45890</v>
      </c>
      <c r="P97" s="77">
        <v>1868</v>
      </c>
      <c r="Q97" s="88" t="s">
        <v>213</v>
      </c>
      <c r="R97" s="44" t="s">
        <v>158</v>
      </c>
      <c r="S97" s="96"/>
    </row>
    <row r="98" spans="1:19" ht="85.5" x14ac:dyDescent="0.25">
      <c r="A98" s="21">
        <v>98</v>
      </c>
      <c r="B98" s="21">
        <v>39</v>
      </c>
      <c r="C98" s="24" t="str">
        <f t="shared" si="8"/>
        <v>5</v>
      </c>
      <c r="D98" s="54" t="s">
        <v>156</v>
      </c>
      <c r="E98" s="55" t="s">
        <v>334</v>
      </c>
      <c r="F98" s="29" t="str">
        <f t="shared" si="9"/>
        <v>18/08/2025</v>
      </c>
      <c r="G98" s="76">
        <v>32</v>
      </c>
      <c r="H98" s="72">
        <f t="shared" si="7"/>
        <v>1406.72</v>
      </c>
      <c r="I98" s="73" t="s">
        <v>394</v>
      </c>
      <c r="J98" s="113">
        <v>45870</v>
      </c>
      <c r="K98" s="21" t="s">
        <v>157</v>
      </c>
      <c r="L98" s="126">
        <v>45875</v>
      </c>
      <c r="M98" s="126">
        <v>45881</v>
      </c>
      <c r="N98" s="126">
        <v>45894</v>
      </c>
      <c r="O98" s="126">
        <v>45894</v>
      </c>
      <c r="P98" s="77">
        <v>2271</v>
      </c>
      <c r="Q98" s="88" t="s">
        <v>214</v>
      </c>
      <c r="R98" s="44" t="s">
        <v>158</v>
      </c>
      <c r="S98" s="99"/>
    </row>
    <row r="99" spans="1:19" ht="85.5" x14ac:dyDescent="0.25">
      <c r="A99" s="21">
        <v>99</v>
      </c>
      <c r="B99" s="21">
        <v>39</v>
      </c>
      <c r="C99" s="24" t="str">
        <f t="shared" si="8"/>
        <v>5</v>
      </c>
      <c r="D99" s="54" t="s">
        <v>156</v>
      </c>
      <c r="E99" s="36" t="s">
        <v>335</v>
      </c>
      <c r="F99" s="29" t="str">
        <f t="shared" si="9"/>
        <v>18/08/2025</v>
      </c>
      <c r="G99" s="75">
        <v>40</v>
      </c>
      <c r="H99" s="72">
        <f t="shared" si="7"/>
        <v>1758.4</v>
      </c>
      <c r="I99" s="73" t="s">
        <v>396</v>
      </c>
      <c r="J99" s="113">
        <v>45870</v>
      </c>
      <c r="K99" s="21" t="s">
        <v>157</v>
      </c>
      <c r="L99" s="126">
        <v>45875</v>
      </c>
      <c r="M99" s="126">
        <v>45881</v>
      </c>
      <c r="N99" s="126">
        <v>45894</v>
      </c>
      <c r="O99" s="126">
        <v>45894</v>
      </c>
      <c r="P99" s="77">
        <v>2271</v>
      </c>
      <c r="Q99" s="88" t="s">
        <v>214</v>
      </c>
      <c r="R99" s="44" t="s">
        <v>158</v>
      </c>
      <c r="S99" s="81"/>
    </row>
    <row r="100" spans="1:19" ht="85.5" x14ac:dyDescent="0.25">
      <c r="A100" s="21">
        <v>100</v>
      </c>
      <c r="B100" s="21">
        <v>39</v>
      </c>
      <c r="C100" s="24" t="str">
        <f t="shared" si="8"/>
        <v>5</v>
      </c>
      <c r="D100" s="54" t="s">
        <v>156</v>
      </c>
      <c r="E100" s="36" t="s">
        <v>336</v>
      </c>
      <c r="F100" s="29" t="str">
        <f t="shared" si="9"/>
        <v>19/08/2025</v>
      </c>
      <c r="G100" s="76">
        <v>32</v>
      </c>
      <c r="H100" s="72">
        <f t="shared" si="7"/>
        <v>1406.72</v>
      </c>
      <c r="I100" s="73" t="s">
        <v>394</v>
      </c>
      <c r="J100" s="113">
        <v>45870</v>
      </c>
      <c r="K100" s="21" t="s">
        <v>157</v>
      </c>
      <c r="L100" s="126">
        <v>45875</v>
      </c>
      <c r="M100" s="126">
        <v>45881</v>
      </c>
      <c r="N100" s="126">
        <v>45894</v>
      </c>
      <c r="O100" s="126">
        <v>45894</v>
      </c>
      <c r="P100" s="77">
        <v>2271</v>
      </c>
      <c r="Q100" s="88" t="s">
        <v>214</v>
      </c>
      <c r="R100" s="44" t="s">
        <v>158</v>
      </c>
      <c r="S100" s="81"/>
    </row>
    <row r="101" spans="1:19" ht="85.5" x14ac:dyDescent="0.25">
      <c r="A101" s="21">
        <v>101</v>
      </c>
      <c r="B101" s="21">
        <v>39</v>
      </c>
      <c r="C101" s="24" t="str">
        <f t="shared" si="8"/>
        <v>5</v>
      </c>
      <c r="D101" s="54" t="s">
        <v>156</v>
      </c>
      <c r="E101" s="36" t="s">
        <v>337</v>
      </c>
      <c r="F101" s="29" t="str">
        <f t="shared" si="9"/>
        <v>19/08/2025</v>
      </c>
      <c r="G101" s="76">
        <v>22</v>
      </c>
      <c r="H101" s="72">
        <f t="shared" si="7"/>
        <v>967.12</v>
      </c>
      <c r="I101" s="73" t="s">
        <v>393</v>
      </c>
      <c r="J101" s="113">
        <v>45870</v>
      </c>
      <c r="K101" s="21" t="s">
        <v>157</v>
      </c>
      <c r="L101" s="126">
        <v>45875</v>
      </c>
      <c r="M101" s="126">
        <v>45881</v>
      </c>
      <c r="N101" s="126">
        <v>45894</v>
      </c>
      <c r="O101" s="126">
        <v>45894</v>
      </c>
      <c r="P101" s="77">
        <v>2271</v>
      </c>
      <c r="Q101" s="88" t="s">
        <v>214</v>
      </c>
      <c r="R101" s="44" t="s">
        <v>158</v>
      </c>
      <c r="S101" s="81"/>
    </row>
    <row r="102" spans="1:19" ht="85.5" x14ac:dyDescent="0.25">
      <c r="A102" s="21">
        <v>102</v>
      </c>
      <c r="B102" s="21">
        <v>39</v>
      </c>
      <c r="C102" s="24" t="str">
        <f t="shared" si="8"/>
        <v>5</v>
      </c>
      <c r="D102" s="54" t="s">
        <v>156</v>
      </c>
      <c r="E102" s="36" t="s">
        <v>338</v>
      </c>
      <c r="F102" s="29" t="str">
        <f t="shared" si="9"/>
        <v>20/08/2025</v>
      </c>
      <c r="G102" s="76">
        <v>32</v>
      </c>
      <c r="H102" s="72">
        <f t="shared" si="7"/>
        <v>1406.72</v>
      </c>
      <c r="I102" s="73" t="s">
        <v>394</v>
      </c>
      <c r="J102" s="113">
        <v>45870</v>
      </c>
      <c r="K102" s="21" t="s">
        <v>157</v>
      </c>
      <c r="L102" s="126">
        <v>45875</v>
      </c>
      <c r="M102" s="126">
        <v>45881</v>
      </c>
      <c r="N102" s="126">
        <v>45894</v>
      </c>
      <c r="O102" s="126">
        <v>45894</v>
      </c>
      <c r="P102" s="77">
        <v>2271</v>
      </c>
      <c r="Q102" s="88" t="s">
        <v>214</v>
      </c>
      <c r="R102" s="44" t="s">
        <v>158</v>
      </c>
      <c r="S102" s="81"/>
    </row>
    <row r="103" spans="1:19" ht="85.5" x14ac:dyDescent="0.25">
      <c r="A103" s="21">
        <v>103</v>
      </c>
      <c r="B103" s="21">
        <v>39</v>
      </c>
      <c r="C103" s="24" t="str">
        <f t="shared" si="8"/>
        <v>5</v>
      </c>
      <c r="D103" s="34" t="s">
        <v>156</v>
      </c>
      <c r="E103" s="36" t="s">
        <v>339</v>
      </c>
      <c r="F103" s="29" t="str">
        <f t="shared" si="9"/>
        <v>20/08/2025</v>
      </c>
      <c r="G103" s="76">
        <v>22</v>
      </c>
      <c r="H103" s="72">
        <f t="shared" si="7"/>
        <v>967.12</v>
      </c>
      <c r="I103" s="73" t="s">
        <v>393</v>
      </c>
      <c r="J103" s="113">
        <v>45870</v>
      </c>
      <c r="K103" s="21" t="s">
        <v>157</v>
      </c>
      <c r="L103" s="126">
        <v>45875</v>
      </c>
      <c r="M103" s="126">
        <v>45881</v>
      </c>
      <c r="N103" s="126">
        <v>45894</v>
      </c>
      <c r="O103" s="126">
        <v>45894</v>
      </c>
      <c r="P103" s="77">
        <v>2271</v>
      </c>
      <c r="Q103" s="88" t="s">
        <v>214</v>
      </c>
      <c r="R103" s="44" t="s">
        <v>158</v>
      </c>
      <c r="S103" s="81"/>
    </row>
    <row r="104" spans="1:19" ht="85.5" x14ac:dyDescent="0.25">
      <c r="A104" s="21">
        <v>104</v>
      </c>
      <c r="B104" s="21">
        <v>39</v>
      </c>
      <c r="C104" s="24" t="str">
        <f t="shared" si="8"/>
        <v>5</v>
      </c>
      <c r="D104" s="54" t="s">
        <v>156</v>
      </c>
      <c r="E104" s="36" t="s">
        <v>340</v>
      </c>
      <c r="F104" s="29" t="str">
        <f t="shared" si="9"/>
        <v>21/08/2025</v>
      </c>
      <c r="G104" s="76">
        <v>32</v>
      </c>
      <c r="H104" s="72">
        <f t="shared" si="7"/>
        <v>1406.72</v>
      </c>
      <c r="I104" s="73" t="s">
        <v>394</v>
      </c>
      <c r="J104" s="113">
        <v>45870</v>
      </c>
      <c r="K104" s="21" t="s">
        <v>157</v>
      </c>
      <c r="L104" s="126">
        <v>45875</v>
      </c>
      <c r="M104" s="126">
        <v>45881</v>
      </c>
      <c r="N104" s="126">
        <v>45894</v>
      </c>
      <c r="O104" s="126">
        <v>45894</v>
      </c>
      <c r="P104" s="77">
        <v>2271</v>
      </c>
      <c r="Q104" s="88" t="s">
        <v>214</v>
      </c>
      <c r="R104" s="44" t="s">
        <v>158</v>
      </c>
      <c r="S104" s="81"/>
    </row>
    <row r="105" spans="1:19" ht="85.5" x14ac:dyDescent="0.25">
      <c r="A105" s="21">
        <v>105</v>
      </c>
      <c r="B105" s="21">
        <v>39</v>
      </c>
      <c r="C105" s="24" t="str">
        <f t="shared" si="8"/>
        <v>5</v>
      </c>
      <c r="D105" s="34" t="s">
        <v>156</v>
      </c>
      <c r="E105" s="36" t="s">
        <v>341</v>
      </c>
      <c r="F105" s="29" t="str">
        <f t="shared" si="9"/>
        <v>21/08/2025</v>
      </c>
      <c r="G105" s="76">
        <v>22</v>
      </c>
      <c r="H105" s="72">
        <f t="shared" si="7"/>
        <v>967.12</v>
      </c>
      <c r="I105" s="73" t="s">
        <v>393</v>
      </c>
      <c r="J105" s="113">
        <v>45870</v>
      </c>
      <c r="K105" s="21" t="s">
        <v>157</v>
      </c>
      <c r="L105" s="126">
        <v>45875</v>
      </c>
      <c r="M105" s="126">
        <v>45881</v>
      </c>
      <c r="N105" s="126">
        <v>45894</v>
      </c>
      <c r="O105" s="126">
        <v>45894</v>
      </c>
      <c r="P105" s="77">
        <v>2271</v>
      </c>
      <c r="Q105" s="88" t="s">
        <v>214</v>
      </c>
      <c r="R105" s="44" t="s">
        <v>158</v>
      </c>
      <c r="S105" s="81"/>
    </row>
    <row r="106" spans="1:19" ht="85.5" x14ac:dyDescent="0.25">
      <c r="A106" s="21">
        <v>106</v>
      </c>
      <c r="B106" s="21">
        <v>39</v>
      </c>
      <c r="C106" s="24" t="str">
        <f t="shared" si="8"/>
        <v>7</v>
      </c>
      <c r="D106" s="34" t="s">
        <v>159</v>
      </c>
      <c r="E106" s="38" t="s">
        <v>342</v>
      </c>
      <c r="F106" s="29" t="str">
        <f t="shared" si="9"/>
        <v>22/08/2025</v>
      </c>
      <c r="G106" s="76">
        <v>27</v>
      </c>
      <c r="H106" s="72">
        <f t="shared" si="7"/>
        <v>927.45</v>
      </c>
      <c r="I106" s="73"/>
      <c r="J106" s="113">
        <v>45870</v>
      </c>
      <c r="K106" s="21" t="s">
        <v>170</v>
      </c>
      <c r="L106" s="126">
        <v>45875</v>
      </c>
      <c r="M106" s="126">
        <v>45881</v>
      </c>
      <c r="N106" s="126">
        <v>45894</v>
      </c>
      <c r="O106" s="126">
        <v>45894</v>
      </c>
      <c r="P106" s="77">
        <v>2271</v>
      </c>
      <c r="Q106" s="88" t="s">
        <v>214</v>
      </c>
      <c r="R106" s="44" t="s">
        <v>158</v>
      </c>
      <c r="S106" s="22"/>
    </row>
    <row r="107" spans="1:19" ht="85.5" x14ac:dyDescent="0.25">
      <c r="A107" s="21">
        <v>107</v>
      </c>
      <c r="B107" s="21">
        <v>40</v>
      </c>
      <c r="C107" s="24" t="str">
        <f t="shared" si="8"/>
        <v>6</v>
      </c>
      <c r="D107" s="34" t="s">
        <v>160</v>
      </c>
      <c r="E107" s="35" t="s">
        <v>343</v>
      </c>
      <c r="F107" s="29" t="str">
        <f t="shared" si="9"/>
        <v>14/08/2025</v>
      </c>
      <c r="G107" s="76">
        <v>10</v>
      </c>
      <c r="H107" s="67">
        <f t="shared" si="7"/>
        <v>343.5</v>
      </c>
      <c r="I107" s="73" t="s">
        <v>397</v>
      </c>
      <c r="J107" s="111">
        <v>45883</v>
      </c>
      <c r="K107" s="21" t="s">
        <v>157</v>
      </c>
      <c r="L107" s="124">
        <v>45883</v>
      </c>
      <c r="M107" s="124">
        <v>45883</v>
      </c>
      <c r="N107" s="124">
        <v>45884</v>
      </c>
      <c r="O107" s="124">
        <v>45884</v>
      </c>
      <c r="P107" s="77">
        <v>1851</v>
      </c>
      <c r="Q107" s="88" t="s">
        <v>215</v>
      </c>
      <c r="R107" s="44" t="s">
        <v>158</v>
      </c>
      <c r="S107" s="95"/>
    </row>
    <row r="108" spans="1:19" ht="85.5" x14ac:dyDescent="0.25">
      <c r="A108" s="21">
        <v>108</v>
      </c>
      <c r="B108" s="21">
        <v>40</v>
      </c>
      <c r="C108" s="24" t="str">
        <f t="shared" si="8"/>
        <v>6</v>
      </c>
      <c r="D108" s="34" t="s">
        <v>160</v>
      </c>
      <c r="E108" s="35" t="s">
        <v>344</v>
      </c>
      <c r="F108" s="29" t="str">
        <f t="shared" si="9"/>
        <v>14/08/2025</v>
      </c>
      <c r="G108" s="76">
        <v>10</v>
      </c>
      <c r="H108" s="67">
        <f t="shared" si="7"/>
        <v>343.5</v>
      </c>
      <c r="I108" s="73" t="s">
        <v>398</v>
      </c>
      <c r="J108" s="111">
        <v>45883</v>
      </c>
      <c r="K108" s="21" t="s">
        <v>157</v>
      </c>
      <c r="L108" s="124">
        <v>45883</v>
      </c>
      <c r="M108" s="124">
        <v>45883</v>
      </c>
      <c r="N108" s="124">
        <v>45884</v>
      </c>
      <c r="O108" s="124">
        <v>45884</v>
      </c>
      <c r="P108" s="77">
        <v>1851</v>
      </c>
      <c r="Q108" s="88" t="s">
        <v>215</v>
      </c>
      <c r="R108" s="44" t="s">
        <v>158</v>
      </c>
      <c r="S108" s="102"/>
    </row>
    <row r="109" spans="1:19" ht="85.5" x14ac:dyDescent="0.25">
      <c r="A109" s="21">
        <v>109</v>
      </c>
      <c r="B109" s="21">
        <v>40</v>
      </c>
      <c r="C109" s="24" t="str">
        <f t="shared" si="8"/>
        <v>2</v>
      </c>
      <c r="D109" s="34" t="s">
        <v>161</v>
      </c>
      <c r="E109" s="35" t="s">
        <v>345</v>
      </c>
      <c r="F109" s="29" t="str">
        <f t="shared" si="9"/>
        <v>14/08/2025</v>
      </c>
      <c r="G109" s="76">
        <v>8</v>
      </c>
      <c r="H109" s="67">
        <f t="shared" si="7"/>
        <v>624.4</v>
      </c>
      <c r="I109" s="73" t="s">
        <v>374</v>
      </c>
      <c r="J109" s="111">
        <v>45883</v>
      </c>
      <c r="K109" s="21" t="s">
        <v>157</v>
      </c>
      <c r="L109" s="124">
        <v>45883</v>
      </c>
      <c r="M109" s="124">
        <v>45883</v>
      </c>
      <c r="N109" s="124">
        <v>45884</v>
      </c>
      <c r="O109" s="124">
        <v>45884</v>
      </c>
      <c r="P109" s="77">
        <v>1851</v>
      </c>
      <c r="Q109" s="88" t="s">
        <v>215</v>
      </c>
      <c r="R109" s="44" t="s">
        <v>158</v>
      </c>
      <c r="S109" s="97"/>
    </row>
    <row r="110" spans="1:19" ht="99.75" x14ac:dyDescent="0.25">
      <c r="A110" s="21">
        <v>110</v>
      </c>
      <c r="B110" s="21">
        <v>41</v>
      </c>
      <c r="C110" s="24" t="str">
        <f t="shared" si="8"/>
        <v>7</v>
      </c>
      <c r="D110" s="40" t="s">
        <v>159</v>
      </c>
      <c r="E110" s="42" t="s">
        <v>291</v>
      </c>
      <c r="F110" s="29" t="str">
        <f t="shared" si="9"/>
        <v>21/08/2025</v>
      </c>
      <c r="G110" s="76">
        <v>30</v>
      </c>
      <c r="H110" s="68">
        <f t="shared" ref="H110:H141" si="10">IF(ISERROR(IF(D110="9-Serviço de Apoio",G110*6.87,IF(D110="8-Café da Manhã",G110*65.44,IF(D110="7-Lunch Box",G110*34.35,IF(D110="4-Coquetel",G110*121.44,IF(D110="1-Empratado especial",G110*92.11,IF(D110="2-Empratado para almoço",G110*78.05,IF(D110="3-Buffet",G110*94.04,IF(D110="5-Coffee Break",G110*43.96,IF(D110="6-Refeições Simplificadas",G110*34.35,IF(D110="10-Serviço de Bebida Especial",G110*100,IF(D110="11-Serviço de Apoio Especial",G110*15,IF(D110="12-Serviço de Apoio Vip",G110*30,IF(D110="13-Brunch",G110*60,"")))))))))))))),"-",IF(D110="9-Serviço de Apoio",G110*6.87,IF(D110="8-Café da Manhã",G110*65.44,IF(D110="7-Lunch Box",G110*34.35,IF(D110="4-Coquetel",G110*121.44,IF(D110="1-Empratado especial",G110*92.11,IF(D110="2-Empratado para almoço",G110*78.05,IF(D110="3-Buffet",G110*94.04,IF(D110="5-Coffee Break",G110*43.96,IF(D110="6-Refeições Simplificadas",G110*34.35,IF(D110="10-Serviço de Bebida Especial",G110*100,IF(D110="11-Serviço de Apoio Especial",G110*15,IF(D110="12-Serviço de Apoio Vip",G110*30,IF(D110="13-Brunch",G110*60,""))))))))))))))</f>
        <v>1030.5</v>
      </c>
      <c r="I110" s="73" t="s">
        <v>391</v>
      </c>
      <c r="J110" s="111">
        <v>45890</v>
      </c>
      <c r="K110" s="21" t="s">
        <v>157</v>
      </c>
      <c r="L110" s="128">
        <v>45889</v>
      </c>
      <c r="M110" s="128">
        <v>45889</v>
      </c>
      <c r="N110" s="128">
        <v>45894</v>
      </c>
      <c r="O110" s="128">
        <v>45894</v>
      </c>
      <c r="P110" s="76">
        <v>2272</v>
      </c>
      <c r="Q110" s="56" t="s">
        <v>216</v>
      </c>
      <c r="R110" s="44" t="s">
        <v>158</v>
      </c>
      <c r="S110" s="102"/>
    </row>
    <row r="111" spans="1:19" ht="85.5" x14ac:dyDescent="0.25">
      <c r="A111" s="21">
        <v>111</v>
      </c>
      <c r="B111" s="21">
        <v>42</v>
      </c>
      <c r="C111" s="24" t="str">
        <f t="shared" si="8"/>
        <v>7</v>
      </c>
      <c r="D111" s="34" t="s">
        <v>159</v>
      </c>
      <c r="E111" s="35" t="s">
        <v>346</v>
      </c>
      <c r="F111" s="29" t="str">
        <f t="shared" si="9"/>
        <v>09/09/2025</v>
      </c>
      <c r="G111" s="76">
        <v>110</v>
      </c>
      <c r="H111" s="67">
        <f t="shared" si="10"/>
        <v>3778.5</v>
      </c>
      <c r="I111" s="73" t="s">
        <v>396</v>
      </c>
      <c r="J111" s="111">
        <v>45887</v>
      </c>
      <c r="K111" s="21" t="s">
        <v>157</v>
      </c>
      <c r="L111" s="123">
        <v>45895</v>
      </c>
      <c r="M111" s="123">
        <v>45903</v>
      </c>
      <c r="N111" s="123">
        <v>45919</v>
      </c>
      <c r="O111" s="123">
        <v>45922</v>
      </c>
      <c r="P111" s="77">
        <v>2380</v>
      </c>
      <c r="Q111" s="31" t="s">
        <v>217</v>
      </c>
      <c r="R111" s="44" t="s">
        <v>158</v>
      </c>
      <c r="S111" s="94"/>
    </row>
    <row r="112" spans="1:19" ht="85.5" x14ac:dyDescent="0.25">
      <c r="A112" s="21">
        <v>112</v>
      </c>
      <c r="B112" s="21">
        <v>42</v>
      </c>
      <c r="C112" s="24" t="str">
        <f t="shared" si="8"/>
        <v>7</v>
      </c>
      <c r="D112" s="34" t="s">
        <v>159</v>
      </c>
      <c r="E112" s="35" t="s">
        <v>347</v>
      </c>
      <c r="F112" s="29" t="str">
        <f t="shared" si="9"/>
        <v>09/09/2025</v>
      </c>
      <c r="G112" s="76">
        <v>110</v>
      </c>
      <c r="H112" s="67">
        <f t="shared" si="10"/>
        <v>3778.5</v>
      </c>
      <c r="I112" s="73" t="s">
        <v>396</v>
      </c>
      <c r="J112" s="111">
        <v>45887</v>
      </c>
      <c r="K112" s="21" t="s">
        <v>157</v>
      </c>
      <c r="L112" s="123">
        <v>45895</v>
      </c>
      <c r="M112" s="123">
        <v>45903</v>
      </c>
      <c r="N112" s="123">
        <v>45919</v>
      </c>
      <c r="O112" s="123">
        <v>45922</v>
      </c>
      <c r="P112" s="77">
        <v>2380</v>
      </c>
      <c r="Q112" s="31" t="s">
        <v>217</v>
      </c>
      <c r="R112" s="44" t="s">
        <v>158</v>
      </c>
      <c r="S112" s="94"/>
    </row>
    <row r="113" spans="1:19" ht="85.5" x14ac:dyDescent="0.25">
      <c r="A113" s="21">
        <v>113</v>
      </c>
      <c r="B113" s="21">
        <v>42</v>
      </c>
      <c r="C113" s="24" t="str">
        <f t="shared" si="8"/>
        <v>7</v>
      </c>
      <c r="D113" s="34" t="s">
        <v>159</v>
      </c>
      <c r="E113" s="35" t="s">
        <v>292</v>
      </c>
      <c r="F113" s="29" t="str">
        <f t="shared" si="9"/>
        <v>10/09/2025</v>
      </c>
      <c r="G113" s="76">
        <v>110</v>
      </c>
      <c r="H113" s="67">
        <f t="shared" si="10"/>
        <v>3778.5</v>
      </c>
      <c r="I113" s="73" t="s">
        <v>396</v>
      </c>
      <c r="J113" s="111">
        <v>45887</v>
      </c>
      <c r="K113" s="21" t="s">
        <v>157</v>
      </c>
      <c r="L113" s="123">
        <v>45895</v>
      </c>
      <c r="M113" s="123">
        <v>45903</v>
      </c>
      <c r="N113" s="123">
        <v>45919</v>
      </c>
      <c r="O113" s="123">
        <v>45922</v>
      </c>
      <c r="P113" s="77">
        <v>2380</v>
      </c>
      <c r="Q113" s="31" t="s">
        <v>217</v>
      </c>
      <c r="R113" s="44" t="s">
        <v>158</v>
      </c>
      <c r="S113" s="94"/>
    </row>
    <row r="114" spans="1:19" ht="85.5" x14ac:dyDescent="0.25">
      <c r="A114" s="21">
        <v>114</v>
      </c>
      <c r="B114" s="21">
        <v>42</v>
      </c>
      <c r="C114" s="24" t="str">
        <f t="shared" si="8"/>
        <v>7</v>
      </c>
      <c r="D114" s="34" t="s">
        <v>159</v>
      </c>
      <c r="E114" s="35" t="s">
        <v>348</v>
      </c>
      <c r="F114" s="29" t="str">
        <f t="shared" si="9"/>
        <v>10/09/2025</v>
      </c>
      <c r="G114" s="76">
        <v>110</v>
      </c>
      <c r="H114" s="67">
        <f t="shared" si="10"/>
        <v>3778.5</v>
      </c>
      <c r="I114" s="73" t="s">
        <v>396</v>
      </c>
      <c r="J114" s="111">
        <v>45887</v>
      </c>
      <c r="K114" s="21" t="s">
        <v>157</v>
      </c>
      <c r="L114" s="123">
        <v>45895</v>
      </c>
      <c r="M114" s="123">
        <v>45903</v>
      </c>
      <c r="N114" s="123">
        <v>45919</v>
      </c>
      <c r="O114" s="123">
        <v>45922</v>
      </c>
      <c r="P114" s="77">
        <v>2380</v>
      </c>
      <c r="Q114" s="31" t="s">
        <v>217</v>
      </c>
      <c r="R114" s="44" t="s">
        <v>158</v>
      </c>
      <c r="S114" s="94"/>
    </row>
    <row r="115" spans="1:19" ht="85.5" x14ac:dyDescent="0.25">
      <c r="A115" s="21">
        <v>115</v>
      </c>
      <c r="B115" s="21">
        <v>42</v>
      </c>
      <c r="C115" s="24" t="str">
        <f t="shared" si="8"/>
        <v>2</v>
      </c>
      <c r="D115" s="54" t="s">
        <v>161</v>
      </c>
      <c r="E115" s="32">
        <v>45886</v>
      </c>
      <c r="F115" s="29" t="str">
        <f t="shared" si="9"/>
        <v>17/08/2025</v>
      </c>
      <c r="G115" s="77">
        <v>4</v>
      </c>
      <c r="H115" s="72">
        <f t="shared" si="10"/>
        <v>312.2</v>
      </c>
      <c r="I115" s="73" t="s">
        <v>374</v>
      </c>
      <c r="J115" s="111">
        <v>45887</v>
      </c>
      <c r="K115" s="44" t="s">
        <v>157</v>
      </c>
      <c r="L115" s="123">
        <v>45895</v>
      </c>
      <c r="M115" s="123">
        <v>45903</v>
      </c>
      <c r="N115" s="123">
        <v>45919</v>
      </c>
      <c r="O115" s="123">
        <v>45922</v>
      </c>
      <c r="P115" s="77">
        <v>2380</v>
      </c>
      <c r="Q115" s="31" t="s">
        <v>217</v>
      </c>
      <c r="R115" s="44" t="s">
        <v>158</v>
      </c>
      <c r="S115" s="95"/>
    </row>
    <row r="116" spans="1:19" ht="85.5" x14ac:dyDescent="0.25">
      <c r="A116" s="21">
        <v>116</v>
      </c>
      <c r="B116" s="21">
        <v>43</v>
      </c>
      <c r="C116" s="24" t="str">
        <f t="shared" si="8"/>
        <v>4</v>
      </c>
      <c r="D116" s="40" t="s">
        <v>167</v>
      </c>
      <c r="E116" s="42" t="s">
        <v>293</v>
      </c>
      <c r="F116" s="29" t="str">
        <f t="shared" si="9"/>
        <v>16/09/2025</v>
      </c>
      <c r="G116" s="76">
        <v>70</v>
      </c>
      <c r="H116" s="68">
        <f t="shared" si="10"/>
        <v>8500.7999999999993</v>
      </c>
      <c r="I116" s="73" t="s">
        <v>386</v>
      </c>
      <c r="J116" s="115">
        <v>45902</v>
      </c>
      <c r="K116" s="21" t="s">
        <v>157</v>
      </c>
      <c r="L116" s="123">
        <v>45897</v>
      </c>
      <c r="M116" s="123">
        <v>45905</v>
      </c>
      <c r="N116" s="123">
        <v>45917</v>
      </c>
      <c r="O116" s="123">
        <v>45918</v>
      </c>
      <c r="P116" s="76">
        <v>1949</v>
      </c>
      <c r="Q116" s="31" t="s">
        <v>218</v>
      </c>
      <c r="R116" s="44" t="s">
        <v>158</v>
      </c>
      <c r="S116" s="94"/>
    </row>
    <row r="117" spans="1:19" ht="99.75" x14ac:dyDescent="0.25">
      <c r="A117" s="21">
        <v>117</v>
      </c>
      <c r="B117" s="21">
        <v>44</v>
      </c>
      <c r="C117" s="24" t="str">
        <f t="shared" si="8"/>
        <v>5</v>
      </c>
      <c r="D117" s="34" t="s">
        <v>156</v>
      </c>
      <c r="E117" s="35" t="s">
        <v>294</v>
      </c>
      <c r="F117" s="29" t="str">
        <f t="shared" si="9"/>
        <v>24/09/2025</v>
      </c>
      <c r="G117" s="76">
        <v>50</v>
      </c>
      <c r="H117" s="70">
        <f t="shared" si="10"/>
        <v>2198</v>
      </c>
      <c r="I117" s="74" t="s">
        <v>380</v>
      </c>
      <c r="J117" s="111">
        <v>45901</v>
      </c>
      <c r="K117" s="21" t="s">
        <v>157</v>
      </c>
      <c r="L117" s="129">
        <v>45912</v>
      </c>
      <c r="M117" s="123">
        <v>45917</v>
      </c>
      <c r="N117" s="123">
        <v>45930</v>
      </c>
      <c r="O117" s="123">
        <v>45930</v>
      </c>
      <c r="P117" s="77">
        <v>2037</v>
      </c>
      <c r="Q117" s="88" t="s">
        <v>219</v>
      </c>
      <c r="R117" s="44" t="s">
        <v>158</v>
      </c>
      <c r="S117" s="94"/>
    </row>
    <row r="118" spans="1:19" ht="99.75" x14ac:dyDescent="0.25">
      <c r="A118" s="21">
        <v>118</v>
      </c>
      <c r="B118" s="21">
        <v>44</v>
      </c>
      <c r="C118" s="24" t="str">
        <f t="shared" si="8"/>
        <v>2</v>
      </c>
      <c r="D118" s="34" t="s">
        <v>161</v>
      </c>
      <c r="E118" s="35" t="s">
        <v>295</v>
      </c>
      <c r="F118" s="29" t="str">
        <f t="shared" si="9"/>
        <v>24/09/2025</v>
      </c>
      <c r="G118" s="76">
        <v>66</v>
      </c>
      <c r="H118" s="67">
        <f t="shared" si="10"/>
        <v>5151.3</v>
      </c>
      <c r="I118" s="73" t="s">
        <v>374</v>
      </c>
      <c r="J118" s="111">
        <v>45894</v>
      </c>
      <c r="K118" s="21" t="s">
        <v>157</v>
      </c>
      <c r="L118" s="123">
        <v>45917</v>
      </c>
      <c r="M118" s="123">
        <v>45917</v>
      </c>
      <c r="N118" s="123">
        <v>45930</v>
      </c>
      <c r="O118" s="123">
        <v>45930</v>
      </c>
      <c r="P118" s="77">
        <v>2037</v>
      </c>
      <c r="Q118" s="88" t="s">
        <v>219</v>
      </c>
      <c r="R118" s="44" t="s">
        <v>158</v>
      </c>
      <c r="S118" s="94"/>
    </row>
    <row r="119" spans="1:19" ht="99.75" x14ac:dyDescent="0.25">
      <c r="A119" s="21">
        <v>119</v>
      </c>
      <c r="B119" s="21">
        <v>44</v>
      </c>
      <c r="C119" s="24" t="str">
        <f t="shared" si="8"/>
        <v>5</v>
      </c>
      <c r="D119" s="34" t="s">
        <v>156</v>
      </c>
      <c r="E119" s="35" t="s">
        <v>296</v>
      </c>
      <c r="F119" s="29" t="str">
        <f t="shared" si="9"/>
        <v>24/09/2025</v>
      </c>
      <c r="G119" s="76">
        <v>50</v>
      </c>
      <c r="H119" s="70">
        <f t="shared" si="10"/>
        <v>2198</v>
      </c>
      <c r="I119" s="74" t="s">
        <v>380</v>
      </c>
      <c r="J119" s="111">
        <v>45901</v>
      </c>
      <c r="K119" s="21" t="s">
        <v>157</v>
      </c>
      <c r="L119" s="130">
        <v>45912</v>
      </c>
      <c r="M119" s="123">
        <v>45917</v>
      </c>
      <c r="N119" s="123">
        <v>45930</v>
      </c>
      <c r="O119" s="123">
        <v>45930</v>
      </c>
      <c r="P119" s="77">
        <v>2037</v>
      </c>
      <c r="Q119" s="88" t="s">
        <v>219</v>
      </c>
      <c r="R119" s="44" t="s">
        <v>158</v>
      </c>
      <c r="S119" s="94"/>
    </row>
    <row r="120" spans="1:19" ht="99.75" x14ac:dyDescent="0.25">
      <c r="A120" s="21">
        <v>120</v>
      </c>
      <c r="B120" s="21">
        <v>44</v>
      </c>
      <c r="C120" s="24" t="str">
        <f t="shared" si="8"/>
        <v>2</v>
      </c>
      <c r="D120" s="34" t="s">
        <v>161</v>
      </c>
      <c r="E120" s="35" t="s">
        <v>297</v>
      </c>
      <c r="F120" s="29" t="str">
        <f t="shared" si="9"/>
        <v>25/09/2025</v>
      </c>
      <c r="G120" s="76">
        <v>120</v>
      </c>
      <c r="H120" s="67">
        <f t="shared" si="10"/>
        <v>9366</v>
      </c>
      <c r="I120" s="73" t="s">
        <v>374</v>
      </c>
      <c r="J120" s="111">
        <v>45894</v>
      </c>
      <c r="K120" s="21" t="s">
        <v>157</v>
      </c>
      <c r="L120" s="130">
        <v>45912</v>
      </c>
      <c r="M120" s="123">
        <v>45917</v>
      </c>
      <c r="N120" s="123">
        <v>45930</v>
      </c>
      <c r="O120" s="123">
        <v>45930</v>
      </c>
      <c r="P120" s="77">
        <v>2037</v>
      </c>
      <c r="Q120" s="88" t="s">
        <v>219</v>
      </c>
      <c r="R120" s="44" t="s">
        <v>158</v>
      </c>
      <c r="S120" s="94"/>
    </row>
    <row r="121" spans="1:19" ht="99.75" x14ac:dyDescent="0.25">
      <c r="A121" s="21">
        <v>121</v>
      </c>
      <c r="B121" s="21">
        <v>44</v>
      </c>
      <c r="C121" s="24" t="str">
        <f t="shared" si="8"/>
        <v>5</v>
      </c>
      <c r="D121" s="34" t="s">
        <v>156</v>
      </c>
      <c r="E121" s="35" t="s">
        <v>298</v>
      </c>
      <c r="F121" s="29" t="str">
        <f t="shared" si="9"/>
        <v>25/09/2025</v>
      </c>
      <c r="G121" s="76">
        <v>100</v>
      </c>
      <c r="H121" s="70">
        <f t="shared" si="10"/>
        <v>4396</v>
      </c>
      <c r="I121" s="74" t="s">
        <v>380</v>
      </c>
      <c r="J121" s="111">
        <v>45901</v>
      </c>
      <c r="K121" s="21" t="s">
        <v>157</v>
      </c>
      <c r="L121" s="129">
        <v>45912</v>
      </c>
      <c r="M121" s="123">
        <v>45917</v>
      </c>
      <c r="N121" s="123">
        <v>45930</v>
      </c>
      <c r="O121" s="123">
        <v>45930</v>
      </c>
      <c r="P121" s="77">
        <v>2037</v>
      </c>
      <c r="Q121" s="88" t="s">
        <v>219</v>
      </c>
      <c r="R121" s="44" t="s">
        <v>158</v>
      </c>
      <c r="S121" s="94"/>
    </row>
    <row r="122" spans="1:19" ht="99.75" x14ac:dyDescent="0.25">
      <c r="A122" s="21">
        <v>122</v>
      </c>
      <c r="B122" s="21">
        <v>44</v>
      </c>
      <c r="C122" s="24" t="str">
        <f t="shared" si="8"/>
        <v>4</v>
      </c>
      <c r="D122" s="34" t="s">
        <v>167</v>
      </c>
      <c r="E122" s="35" t="s">
        <v>299</v>
      </c>
      <c r="F122" s="29" t="str">
        <f t="shared" si="9"/>
        <v>25/09/2025</v>
      </c>
      <c r="G122" s="76">
        <v>120</v>
      </c>
      <c r="H122" s="67">
        <f t="shared" si="10"/>
        <v>14572.8</v>
      </c>
      <c r="I122" s="73" t="s">
        <v>376</v>
      </c>
      <c r="J122" s="111">
        <v>45901</v>
      </c>
      <c r="K122" s="21" t="s">
        <v>157</v>
      </c>
      <c r="L122" s="123">
        <v>45917</v>
      </c>
      <c r="M122" s="123">
        <v>45917</v>
      </c>
      <c r="N122" s="123">
        <v>45930</v>
      </c>
      <c r="O122" s="123">
        <v>45930</v>
      </c>
      <c r="P122" s="77">
        <v>2037</v>
      </c>
      <c r="Q122" s="88" t="s">
        <v>219</v>
      </c>
      <c r="R122" s="44" t="s">
        <v>158</v>
      </c>
      <c r="S122" s="94"/>
    </row>
    <row r="123" spans="1:19" ht="99.75" x14ac:dyDescent="0.25">
      <c r="A123" s="21">
        <v>123</v>
      </c>
      <c r="B123" s="21">
        <v>44</v>
      </c>
      <c r="C123" s="24" t="str">
        <f t="shared" si="8"/>
        <v>5</v>
      </c>
      <c r="D123" s="34" t="s">
        <v>156</v>
      </c>
      <c r="E123" s="35" t="s">
        <v>300</v>
      </c>
      <c r="F123" s="29" t="str">
        <f t="shared" si="9"/>
        <v>26/09/2025</v>
      </c>
      <c r="G123" s="76">
        <v>90</v>
      </c>
      <c r="H123" s="70">
        <f t="shared" si="10"/>
        <v>3956.4</v>
      </c>
      <c r="I123" s="74" t="s">
        <v>380</v>
      </c>
      <c r="J123" s="111">
        <v>45901</v>
      </c>
      <c r="K123" s="21" t="s">
        <v>157</v>
      </c>
      <c r="L123" s="130">
        <v>45912</v>
      </c>
      <c r="M123" s="123">
        <v>45917</v>
      </c>
      <c r="N123" s="123">
        <v>45930</v>
      </c>
      <c r="O123" s="123">
        <v>45930</v>
      </c>
      <c r="P123" s="77">
        <v>2037</v>
      </c>
      <c r="Q123" s="88" t="s">
        <v>219</v>
      </c>
      <c r="R123" s="44" t="s">
        <v>158</v>
      </c>
      <c r="S123" s="94"/>
    </row>
    <row r="124" spans="1:19" ht="99.75" x14ac:dyDescent="0.25">
      <c r="A124" s="21">
        <v>124</v>
      </c>
      <c r="B124" s="21">
        <v>44</v>
      </c>
      <c r="C124" s="24" t="str">
        <f t="shared" si="8"/>
        <v>2</v>
      </c>
      <c r="D124" s="34" t="s">
        <v>161</v>
      </c>
      <c r="E124" s="35" t="s">
        <v>301</v>
      </c>
      <c r="F124" s="29" t="str">
        <f t="shared" si="9"/>
        <v>26/09/2025</v>
      </c>
      <c r="G124" s="76">
        <v>100</v>
      </c>
      <c r="H124" s="67">
        <f t="shared" si="10"/>
        <v>7805</v>
      </c>
      <c r="I124" s="73" t="s">
        <v>374</v>
      </c>
      <c r="J124" s="111">
        <v>45894</v>
      </c>
      <c r="K124" s="21" t="s">
        <v>157</v>
      </c>
      <c r="L124" s="130">
        <v>45912</v>
      </c>
      <c r="M124" s="123">
        <v>45917</v>
      </c>
      <c r="N124" s="123">
        <v>45930</v>
      </c>
      <c r="O124" s="123">
        <v>45930</v>
      </c>
      <c r="P124" s="77">
        <v>2037</v>
      </c>
      <c r="Q124" s="88" t="s">
        <v>219</v>
      </c>
      <c r="R124" s="44" t="s">
        <v>158</v>
      </c>
      <c r="S124" s="94"/>
    </row>
    <row r="125" spans="1:19" ht="99.75" x14ac:dyDescent="0.25">
      <c r="A125" s="21">
        <v>125</v>
      </c>
      <c r="B125" s="21">
        <v>44</v>
      </c>
      <c r="C125" s="24" t="str">
        <f t="shared" si="8"/>
        <v>5</v>
      </c>
      <c r="D125" s="34" t="s">
        <v>156</v>
      </c>
      <c r="E125" s="35" t="s">
        <v>302</v>
      </c>
      <c r="F125" s="29" t="str">
        <f t="shared" si="9"/>
        <v>26/09/2025</v>
      </c>
      <c r="G125" s="76">
        <v>90</v>
      </c>
      <c r="H125" s="70">
        <f t="shared" si="10"/>
        <v>3956.4</v>
      </c>
      <c r="I125" s="74" t="s">
        <v>380</v>
      </c>
      <c r="J125" s="111">
        <v>45901</v>
      </c>
      <c r="K125" s="21" t="s">
        <v>157</v>
      </c>
      <c r="L125" s="130">
        <v>45912</v>
      </c>
      <c r="M125" s="123">
        <v>45917</v>
      </c>
      <c r="N125" s="123">
        <v>45930</v>
      </c>
      <c r="O125" s="123">
        <v>45930</v>
      </c>
      <c r="P125" s="77">
        <v>2037</v>
      </c>
      <c r="Q125" s="88" t="s">
        <v>219</v>
      </c>
      <c r="R125" s="44" t="s">
        <v>158</v>
      </c>
      <c r="S125" s="94"/>
    </row>
    <row r="126" spans="1:19" ht="99.75" x14ac:dyDescent="0.25">
      <c r="A126" s="21">
        <v>126</v>
      </c>
      <c r="B126" s="21">
        <v>45</v>
      </c>
      <c r="C126" s="24" t="str">
        <f t="shared" si="8"/>
        <v>7</v>
      </c>
      <c r="D126" s="40" t="s">
        <v>159</v>
      </c>
      <c r="E126" s="42" t="s">
        <v>349</v>
      </c>
      <c r="F126" s="29" t="str">
        <f t="shared" si="9"/>
        <v>06/10/2025</v>
      </c>
      <c r="G126" s="76">
        <v>110</v>
      </c>
      <c r="H126" s="68">
        <f t="shared" si="10"/>
        <v>3778.5</v>
      </c>
      <c r="I126" s="73" t="s">
        <v>391</v>
      </c>
      <c r="J126" s="111">
        <v>45919</v>
      </c>
      <c r="K126" s="21" t="s">
        <v>157</v>
      </c>
      <c r="L126" s="123">
        <v>45922</v>
      </c>
      <c r="M126" s="123">
        <v>45922</v>
      </c>
      <c r="N126" s="123">
        <v>45937</v>
      </c>
      <c r="O126" s="123">
        <v>45937</v>
      </c>
      <c r="P126" s="76">
        <v>2018</v>
      </c>
      <c r="Q126" s="31" t="s">
        <v>220</v>
      </c>
      <c r="R126" s="44" t="s">
        <v>158</v>
      </c>
      <c r="S126" s="94"/>
    </row>
    <row r="127" spans="1:19" ht="99.75" x14ac:dyDescent="0.25">
      <c r="A127" s="21">
        <v>127</v>
      </c>
      <c r="B127" s="21">
        <v>46</v>
      </c>
      <c r="C127" s="24" t="str">
        <f t="shared" si="8"/>
        <v>2</v>
      </c>
      <c r="D127" s="40" t="s">
        <v>161</v>
      </c>
      <c r="E127" s="42" t="s">
        <v>350</v>
      </c>
      <c r="F127" s="29" t="str">
        <f t="shared" si="9"/>
        <v>25/09/2025</v>
      </c>
      <c r="G127" s="76">
        <v>1</v>
      </c>
      <c r="H127" s="68">
        <f t="shared" si="10"/>
        <v>78.05</v>
      </c>
      <c r="I127" s="73"/>
      <c r="J127" s="111">
        <v>45925</v>
      </c>
      <c r="K127" s="21" t="s">
        <v>157</v>
      </c>
      <c r="L127" s="123">
        <v>45925</v>
      </c>
      <c r="M127" s="123">
        <v>45925</v>
      </c>
      <c r="N127" s="123">
        <v>45932</v>
      </c>
      <c r="O127" s="123">
        <v>45932</v>
      </c>
      <c r="P127" s="76">
        <v>1998</v>
      </c>
      <c r="Q127" s="31" t="s">
        <v>221</v>
      </c>
      <c r="R127" s="44" t="s">
        <v>158</v>
      </c>
      <c r="S127" s="94"/>
    </row>
    <row r="128" spans="1:19" ht="85.5" x14ac:dyDescent="0.25">
      <c r="A128" s="21">
        <v>128</v>
      </c>
      <c r="B128" s="21">
        <v>47</v>
      </c>
      <c r="C128" s="24" t="str">
        <f t="shared" si="8"/>
        <v>7</v>
      </c>
      <c r="D128" s="40" t="s">
        <v>159</v>
      </c>
      <c r="E128" s="42" t="s">
        <v>303</v>
      </c>
      <c r="F128" s="29" t="str">
        <f t="shared" si="9"/>
        <v>10/10/2025</v>
      </c>
      <c r="G128" s="76">
        <v>100</v>
      </c>
      <c r="H128" s="68">
        <f t="shared" si="10"/>
        <v>3435</v>
      </c>
      <c r="I128" s="73"/>
      <c r="J128" s="111">
        <v>45933</v>
      </c>
      <c r="K128" s="21" t="s">
        <v>157</v>
      </c>
      <c r="L128" s="123">
        <v>45937</v>
      </c>
      <c r="M128" s="123">
        <v>45937</v>
      </c>
      <c r="N128" s="123">
        <v>45943</v>
      </c>
      <c r="O128" s="123">
        <v>45943</v>
      </c>
      <c r="P128" s="76">
        <v>2054</v>
      </c>
      <c r="Q128" s="31" t="s">
        <v>222</v>
      </c>
      <c r="R128" s="44" t="s">
        <v>158</v>
      </c>
      <c r="S128" s="94"/>
    </row>
    <row r="129" spans="1:19" ht="85.5" x14ac:dyDescent="0.25">
      <c r="A129" s="21">
        <v>129</v>
      </c>
      <c r="B129" s="21">
        <v>48</v>
      </c>
      <c r="C129" s="24" t="str">
        <f t="shared" si="8"/>
        <v>8</v>
      </c>
      <c r="D129" s="40" t="s">
        <v>164</v>
      </c>
      <c r="E129" s="42" t="s">
        <v>304</v>
      </c>
      <c r="F129" s="29" t="str">
        <f t="shared" si="9"/>
        <v>14/10/2025</v>
      </c>
      <c r="G129" s="76">
        <v>110</v>
      </c>
      <c r="H129" s="68">
        <f t="shared" si="10"/>
        <v>7198.4</v>
      </c>
      <c r="I129" s="73" t="s">
        <v>374</v>
      </c>
      <c r="J129" s="111">
        <v>45939</v>
      </c>
      <c r="K129" s="21" t="s">
        <v>157</v>
      </c>
      <c r="L129" s="123">
        <v>45939</v>
      </c>
      <c r="M129" s="123">
        <v>45939</v>
      </c>
      <c r="N129" s="123">
        <v>45945</v>
      </c>
      <c r="O129" s="123">
        <v>45945</v>
      </c>
      <c r="P129" s="76">
        <v>2071</v>
      </c>
      <c r="Q129" s="31" t="s">
        <v>223</v>
      </c>
      <c r="R129" s="44" t="s">
        <v>158</v>
      </c>
      <c r="S129" s="94"/>
    </row>
    <row r="130" spans="1:19" ht="99.75" x14ac:dyDescent="0.25">
      <c r="A130" s="21">
        <v>130</v>
      </c>
      <c r="B130" s="21">
        <v>49</v>
      </c>
      <c r="C130" s="24" t="str">
        <f t="shared" si="8"/>
        <v>7</v>
      </c>
      <c r="D130" s="34" t="s">
        <v>159</v>
      </c>
      <c r="E130" s="35" t="s">
        <v>351</v>
      </c>
      <c r="F130" s="29" t="str">
        <f t="shared" si="9"/>
        <v>14/10/2025</v>
      </c>
      <c r="G130" s="76">
        <v>30</v>
      </c>
      <c r="H130" s="67">
        <f t="shared" si="10"/>
        <v>1030.5</v>
      </c>
      <c r="I130" s="73" t="s">
        <v>376</v>
      </c>
      <c r="J130" s="111">
        <v>45939</v>
      </c>
      <c r="K130" s="21" t="s">
        <v>157</v>
      </c>
      <c r="L130" s="124">
        <v>45940</v>
      </c>
      <c r="M130" s="124">
        <v>45940</v>
      </c>
      <c r="N130" s="124">
        <v>45945</v>
      </c>
      <c r="O130" s="124">
        <v>45945</v>
      </c>
      <c r="P130" s="77">
        <v>2072</v>
      </c>
      <c r="Q130" s="88" t="s">
        <v>224</v>
      </c>
      <c r="R130" s="44" t="s">
        <v>158</v>
      </c>
      <c r="S130" s="95"/>
    </row>
    <row r="131" spans="1:19" ht="99.75" x14ac:dyDescent="0.25">
      <c r="A131" s="21">
        <v>131</v>
      </c>
      <c r="B131" s="21">
        <v>49</v>
      </c>
      <c r="C131" s="24" t="str">
        <f t="shared" si="8"/>
        <v>7</v>
      </c>
      <c r="D131" s="34" t="s">
        <v>159</v>
      </c>
      <c r="E131" s="35" t="s">
        <v>352</v>
      </c>
      <c r="F131" s="29" t="str">
        <f t="shared" si="9"/>
        <v>14/10/2025</v>
      </c>
      <c r="G131" s="76">
        <v>30</v>
      </c>
      <c r="H131" s="67">
        <f t="shared" si="10"/>
        <v>1030.5</v>
      </c>
      <c r="I131" s="73" t="s">
        <v>376</v>
      </c>
      <c r="J131" s="111">
        <v>45939</v>
      </c>
      <c r="K131" s="21" t="s">
        <v>157</v>
      </c>
      <c r="L131" s="124">
        <v>45940</v>
      </c>
      <c r="M131" s="124">
        <v>45940</v>
      </c>
      <c r="N131" s="124">
        <v>45945</v>
      </c>
      <c r="O131" s="124">
        <v>45945</v>
      </c>
      <c r="P131" s="77">
        <v>2072</v>
      </c>
      <c r="Q131" s="88" t="s">
        <v>224</v>
      </c>
      <c r="R131" s="44" t="s">
        <v>158</v>
      </c>
      <c r="S131" s="97"/>
    </row>
    <row r="132" spans="1:19" ht="85.5" x14ac:dyDescent="0.25">
      <c r="A132" s="21">
        <v>132</v>
      </c>
      <c r="B132" s="21">
        <v>50</v>
      </c>
      <c r="C132" s="24" t="str">
        <f t="shared" si="8"/>
        <v>4</v>
      </c>
      <c r="D132" s="40" t="s">
        <v>167</v>
      </c>
      <c r="E132" s="42" t="s">
        <v>353</v>
      </c>
      <c r="F132" s="29" t="str">
        <f t="shared" si="9"/>
        <v>15/10/2025</v>
      </c>
      <c r="G132" s="76">
        <v>150</v>
      </c>
      <c r="H132" s="68">
        <f t="shared" si="10"/>
        <v>18216</v>
      </c>
      <c r="I132" s="73" t="s">
        <v>386</v>
      </c>
      <c r="J132" s="111">
        <v>45940</v>
      </c>
      <c r="K132" s="21" t="s">
        <v>157</v>
      </c>
      <c r="L132" s="123">
        <v>45940</v>
      </c>
      <c r="M132" s="123">
        <v>45940</v>
      </c>
      <c r="N132" s="123">
        <v>45950</v>
      </c>
      <c r="O132" s="123">
        <v>45951</v>
      </c>
      <c r="P132" s="76">
        <v>2085</v>
      </c>
      <c r="Q132" s="31" t="s">
        <v>225</v>
      </c>
      <c r="R132" s="44" t="s">
        <v>158</v>
      </c>
      <c r="S132" s="94"/>
    </row>
    <row r="133" spans="1:19" ht="85.5" x14ac:dyDescent="0.25">
      <c r="A133" s="21">
        <v>133</v>
      </c>
      <c r="B133" s="21">
        <v>51</v>
      </c>
      <c r="C133" s="24" t="str">
        <f t="shared" si="8"/>
        <v>5</v>
      </c>
      <c r="D133" s="40" t="s">
        <v>156</v>
      </c>
      <c r="E133" s="42" t="s">
        <v>354</v>
      </c>
      <c r="F133" s="29" t="str">
        <f t="shared" si="9"/>
        <v>16/10/2025</v>
      </c>
      <c r="G133" s="76">
        <v>100</v>
      </c>
      <c r="H133" s="68">
        <f t="shared" si="10"/>
        <v>4396</v>
      </c>
      <c r="I133" s="73" t="s">
        <v>379</v>
      </c>
      <c r="J133" s="111">
        <v>45940</v>
      </c>
      <c r="K133" s="21" t="s">
        <v>157</v>
      </c>
      <c r="L133" s="123">
        <v>45940</v>
      </c>
      <c r="M133" s="123">
        <v>45940</v>
      </c>
      <c r="N133" s="123">
        <v>45950</v>
      </c>
      <c r="O133" s="123">
        <v>45950</v>
      </c>
      <c r="P133" s="76">
        <v>2084</v>
      </c>
      <c r="Q133" s="31" t="s">
        <v>226</v>
      </c>
      <c r="R133" s="44" t="s">
        <v>158</v>
      </c>
      <c r="S133" s="94"/>
    </row>
    <row r="134" spans="1:19" ht="85.5" x14ac:dyDescent="0.25">
      <c r="A134" s="21">
        <v>134</v>
      </c>
      <c r="B134" s="21">
        <v>52</v>
      </c>
      <c r="C134" s="24" t="str">
        <f t="shared" si="8"/>
        <v>5</v>
      </c>
      <c r="D134" s="34" t="s">
        <v>156</v>
      </c>
      <c r="E134" s="35" t="s">
        <v>305</v>
      </c>
      <c r="F134" s="29" t="str">
        <f t="shared" si="9"/>
        <v>21/10/2025</v>
      </c>
      <c r="G134" s="76">
        <v>131</v>
      </c>
      <c r="H134" s="67">
        <f t="shared" si="10"/>
        <v>5758.76</v>
      </c>
      <c r="I134" s="73" t="s">
        <v>374</v>
      </c>
      <c r="J134" s="111">
        <v>45945</v>
      </c>
      <c r="K134" s="21" t="s">
        <v>157</v>
      </c>
      <c r="L134" s="123">
        <v>45946</v>
      </c>
      <c r="M134" s="123">
        <v>45946</v>
      </c>
      <c r="N134" s="123">
        <v>45958</v>
      </c>
      <c r="O134" s="123">
        <v>45958</v>
      </c>
      <c r="P134" s="77">
        <v>2122</v>
      </c>
      <c r="Q134" s="88" t="s">
        <v>227</v>
      </c>
      <c r="R134" s="44" t="s">
        <v>158</v>
      </c>
      <c r="S134" s="94"/>
    </row>
    <row r="135" spans="1:19" ht="85.5" x14ac:dyDescent="0.25">
      <c r="A135" s="21">
        <v>135</v>
      </c>
      <c r="B135" s="21">
        <v>52</v>
      </c>
      <c r="C135" s="24" t="str">
        <f t="shared" si="8"/>
        <v>5</v>
      </c>
      <c r="D135" s="34" t="s">
        <v>156</v>
      </c>
      <c r="E135" s="35" t="s">
        <v>306</v>
      </c>
      <c r="F135" s="29" t="str">
        <f t="shared" si="9"/>
        <v>22/10/2025</v>
      </c>
      <c r="G135" s="76">
        <v>127</v>
      </c>
      <c r="H135" s="67">
        <f t="shared" si="10"/>
        <v>5582.92</v>
      </c>
      <c r="I135" s="73" t="s">
        <v>374</v>
      </c>
      <c r="J135" s="111">
        <v>45945</v>
      </c>
      <c r="K135" s="21" t="s">
        <v>157</v>
      </c>
      <c r="L135" s="123">
        <v>45946</v>
      </c>
      <c r="M135" s="123">
        <v>45946</v>
      </c>
      <c r="N135" s="123">
        <v>45958</v>
      </c>
      <c r="O135" s="123">
        <v>45958</v>
      </c>
      <c r="P135" s="77">
        <v>2122</v>
      </c>
      <c r="Q135" s="88" t="s">
        <v>414</v>
      </c>
      <c r="R135" s="44" t="s">
        <v>158</v>
      </c>
      <c r="S135" s="94"/>
    </row>
    <row r="136" spans="1:19" ht="85.5" x14ac:dyDescent="0.25">
      <c r="A136" s="21">
        <v>136</v>
      </c>
      <c r="B136" s="21">
        <v>52</v>
      </c>
      <c r="C136" s="24" t="str">
        <f t="shared" si="8"/>
        <v>5</v>
      </c>
      <c r="D136" s="34" t="s">
        <v>156</v>
      </c>
      <c r="E136" s="35" t="s">
        <v>307</v>
      </c>
      <c r="F136" s="29" t="str">
        <f t="shared" si="9"/>
        <v>24/10/2025</v>
      </c>
      <c r="G136" s="76">
        <v>270</v>
      </c>
      <c r="H136" s="67">
        <f t="shared" si="10"/>
        <v>11869.2</v>
      </c>
      <c r="I136" s="73" t="s">
        <v>374</v>
      </c>
      <c r="J136" s="111">
        <v>45945</v>
      </c>
      <c r="K136" s="21" t="s">
        <v>157</v>
      </c>
      <c r="L136" s="123">
        <v>45946</v>
      </c>
      <c r="M136" s="123">
        <v>45946</v>
      </c>
      <c r="N136" s="123">
        <v>45958</v>
      </c>
      <c r="O136" s="123">
        <v>45958</v>
      </c>
      <c r="P136" s="77">
        <v>2122</v>
      </c>
      <c r="Q136" s="88" t="s">
        <v>415</v>
      </c>
      <c r="R136" s="44" t="s">
        <v>158</v>
      </c>
      <c r="S136" s="94"/>
    </row>
    <row r="137" spans="1:19" ht="85.5" x14ac:dyDescent="0.25">
      <c r="A137" s="21">
        <v>137</v>
      </c>
      <c r="B137" s="21">
        <v>52</v>
      </c>
      <c r="C137" s="24" t="str">
        <f t="shared" si="8"/>
        <v>6</v>
      </c>
      <c r="D137" s="34" t="s">
        <v>160</v>
      </c>
      <c r="E137" s="35" t="s">
        <v>308</v>
      </c>
      <c r="F137" s="29" t="str">
        <f t="shared" si="9"/>
        <v>22/10/2025</v>
      </c>
      <c r="G137" s="76">
        <v>200</v>
      </c>
      <c r="H137" s="67">
        <f t="shared" si="10"/>
        <v>6870</v>
      </c>
      <c r="I137" s="73" t="s">
        <v>399</v>
      </c>
      <c r="J137" s="111">
        <v>45945</v>
      </c>
      <c r="K137" s="21" t="s">
        <v>157</v>
      </c>
      <c r="L137" s="123">
        <v>45946</v>
      </c>
      <c r="M137" s="123">
        <v>45946</v>
      </c>
      <c r="N137" s="123">
        <v>45958</v>
      </c>
      <c r="O137" s="123">
        <v>45958</v>
      </c>
      <c r="P137" s="77">
        <v>2122</v>
      </c>
      <c r="Q137" s="88" t="s">
        <v>416</v>
      </c>
      <c r="R137" s="44" t="s">
        <v>158</v>
      </c>
      <c r="S137" s="94"/>
    </row>
    <row r="138" spans="1:19" ht="85.5" x14ac:dyDescent="0.25">
      <c r="A138" s="21">
        <v>138</v>
      </c>
      <c r="B138" s="21">
        <v>52</v>
      </c>
      <c r="C138" s="24" t="str">
        <f t="shared" si="8"/>
        <v>6</v>
      </c>
      <c r="D138" s="34" t="s">
        <v>160</v>
      </c>
      <c r="E138" s="35" t="s">
        <v>355</v>
      </c>
      <c r="F138" s="29" t="str">
        <f t="shared" si="9"/>
        <v>23/10/2025</v>
      </c>
      <c r="G138" s="76">
        <v>200</v>
      </c>
      <c r="H138" s="67">
        <f t="shared" si="10"/>
        <v>6870</v>
      </c>
      <c r="I138" s="73" t="s">
        <v>399</v>
      </c>
      <c r="J138" s="111">
        <v>45945</v>
      </c>
      <c r="K138" s="21" t="s">
        <v>157</v>
      </c>
      <c r="L138" s="123">
        <v>45946</v>
      </c>
      <c r="M138" s="123">
        <v>45946</v>
      </c>
      <c r="N138" s="123">
        <v>45958</v>
      </c>
      <c r="O138" s="123">
        <v>45958</v>
      </c>
      <c r="P138" s="77">
        <v>2122</v>
      </c>
      <c r="Q138" s="88" t="s">
        <v>417</v>
      </c>
      <c r="R138" s="44" t="s">
        <v>158</v>
      </c>
      <c r="S138" s="94"/>
    </row>
    <row r="139" spans="1:19" ht="85.5" x14ac:dyDescent="0.25">
      <c r="A139" s="21">
        <v>139</v>
      </c>
      <c r="B139" s="21">
        <v>52</v>
      </c>
      <c r="C139" s="24" t="str">
        <f t="shared" si="8"/>
        <v>6</v>
      </c>
      <c r="D139" s="34" t="s">
        <v>160</v>
      </c>
      <c r="E139" s="35" t="s">
        <v>356</v>
      </c>
      <c r="F139" s="29" t="str">
        <f t="shared" si="9"/>
        <v>23/10/2025</v>
      </c>
      <c r="G139" s="76">
        <v>200</v>
      </c>
      <c r="H139" s="67">
        <f t="shared" si="10"/>
        <v>6870</v>
      </c>
      <c r="I139" s="73" t="s">
        <v>399</v>
      </c>
      <c r="J139" s="111">
        <v>45945</v>
      </c>
      <c r="K139" s="21" t="s">
        <v>157</v>
      </c>
      <c r="L139" s="123">
        <v>45946</v>
      </c>
      <c r="M139" s="123">
        <v>45946</v>
      </c>
      <c r="N139" s="123">
        <v>45958</v>
      </c>
      <c r="O139" s="123">
        <v>45958</v>
      </c>
      <c r="P139" s="77">
        <v>2122</v>
      </c>
      <c r="Q139" s="88" t="s">
        <v>418</v>
      </c>
      <c r="R139" s="44" t="s">
        <v>158</v>
      </c>
      <c r="S139" s="94"/>
    </row>
    <row r="140" spans="1:19" ht="85.5" x14ac:dyDescent="0.25">
      <c r="A140" s="21">
        <v>140</v>
      </c>
      <c r="B140" s="21">
        <v>52</v>
      </c>
      <c r="C140" s="24" t="str">
        <f t="shared" si="8"/>
        <v>6</v>
      </c>
      <c r="D140" s="34" t="s">
        <v>160</v>
      </c>
      <c r="E140" s="35" t="s">
        <v>357</v>
      </c>
      <c r="F140" s="29" t="str">
        <f t="shared" si="9"/>
        <v>24/10/2025</v>
      </c>
      <c r="G140" s="76">
        <v>200</v>
      </c>
      <c r="H140" s="67">
        <f t="shared" si="10"/>
        <v>6870</v>
      </c>
      <c r="I140" s="73" t="s">
        <v>399</v>
      </c>
      <c r="J140" s="111">
        <v>45945</v>
      </c>
      <c r="K140" s="21" t="s">
        <v>157</v>
      </c>
      <c r="L140" s="123">
        <v>45946</v>
      </c>
      <c r="M140" s="123">
        <v>45946</v>
      </c>
      <c r="N140" s="123">
        <v>45958</v>
      </c>
      <c r="O140" s="123">
        <v>45958</v>
      </c>
      <c r="P140" s="77">
        <v>2122</v>
      </c>
      <c r="Q140" s="88" t="s">
        <v>419</v>
      </c>
      <c r="R140" s="44" t="s">
        <v>158</v>
      </c>
      <c r="S140" s="94"/>
    </row>
    <row r="141" spans="1:19" ht="85.5" x14ac:dyDescent="0.25">
      <c r="A141" s="21">
        <v>141</v>
      </c>
      <c r="B141" s="21">
        <v>53</v>
      </c>
      <c r="C141" s="24" t="str">
        <f t="shared" si="8"/>
        <v>5</v>
      </c>
      <c r="D141" s="40" t="s">
        <v>156</v>
      </c>
      <c r="E141" s="42" t="s">
        <v>309</v>
      </c>
      <c r="F141" s="29" t="str">
        <f t="shared" si="9"/>
        <v>28/10/2025</v>
      </c>
      <c r="G141" s="76">
        <v>30</v>
      </c>
      <c r="H141" s="68">
        <f t="shared" si="10"/>
        <v>1318.8</v>
      </c>
      <c r="I141" s="73" t="s">
        <v>374</v>
      </c>
      <c r="J141" s="111">
        <v>45953</v>
      </c>
      <c r="K141" s="21" t="s">
        <v>157</v>
      </c>
      <c r="L141" s="123">
        <v>45954</v>
      </c>
      <c r="M141" s="123">
        <v>45954</v>
      </c>
      <c r="N141" s="123">
        <v>45960</v>
      </c>
      <c r="O141" s="123">
        <v>45960</v>
      </c>
      <c r="P141" s="76">
        <v>2120</v>
      </c>
      <c r="Q141" s="31" t="s">
        <v>228</v>
      </c>
      <c r="R141" s="44" t="s">
        <v>158</v>
      </c>
      <c r="S141" s="94"/>
    </row>
    <row r="142" spans="1:19" ht="85.5" x14ac:dyDescent="0.25">
      <c r="A142" s="21">
        <v>142</v>
      </c>
      <c r="B142" s="21">
        <v>54</v>
      </c>
      <c r="C142" s="24" t="str">
        <f t="shared" ref="C142:C177" si="11">LEFT(D142,FIND("-",D142)-1)</f>
        <v>7</v>
      </c>
      <c r="D142" s="40" t="s">
        <v>159</v>
      </c>
      <c r="E142" s="42" t="s">
        <v>310</v>
      </c>
      <c r="F142" s="29" t="str">
        <f t="shared" ref="F142:F196" si="12">TEXT(LEFT(E142,10),"DD/MM/AAAA")</f>
        <v>29/10/2025</v>
      </c>
      <c r="G142" s="76">
        <v>100</v>
      </c>
      <c r="H142" s="68">
        <f t="shared" ref="H142:H146" si="13">IF(ISERROR(IF(D142="9-Serviço de Apoio",G142*6.87,IF(D142="8-Café da Manhã",G142*65.44,IF(D142="7-Lunch Box",G142*34.35,IF(D142="4-Coquetel",G142*121.44,IF(D142="1-Empratado especial",G142*92.11,IF(D142="2-Empratado para almoço",G142*78.05,IF(D142="3-Buffet",G142*94.04,IF(D142="5-Coffee Break",G142*43.96,IF(D142="6-Refeições Simplificadas",G142*34.35,IF(D142="10-Serviço de Bebida Especial",G142*100,IF(D142="11-Serviço de Apoio Especial",G142*15,IF(D142="12-Serviço de Apoio Vip",G142*30,IF(D142="13-Brunch",G142*60,"")))))))))))))),"-",IF(D142="9-Serviço de Apoio",G142*6.87,IF(D142="8-Café da Manhã",G142*65.44,IF(D142="7-Lunch Box",G142*34.35,IF(D142="4-Coquetel",G142*121.44,IF(D142="1-Empratado especial",G142*92.11,IF(D142="2-Empratado para almoço",G142*78.05,IF(D142="3-Buffet",G142*94.04,IF(D142="5-Coffee Break",G142*43.96,IF(D142="6-Refeições Simplificadas",G142*34.35,IF(D142="10-Serviço de Bebida Especial",G142*100,IF(D142="11-Serviço de Apoio Especial",G142*15,IF(D142="12-Serviço de Apoio Vip",G142*30,IF(D142="13-Brunch",G142*60,""))))))))))))))</f>
        <v>3435</v>
      </c>
      <c r="I142" s="73" t="s">
        <v>391</v>
      </c>
      <c r="J142" s="111">
        <v>45958</v>
      </c>
      <c r="K142" s="21" t="s">
        <v>157</v>
      </c>
      <c r="L142" s="123">
        <v>45958</v>
      </c>
      <c r="M142" s="123">
        <v>45958</v>
      </c>
      <c r="N142" s="123">
        <v>45960</v>
      </c>
      <c r="O142" s="123">
        <v>45960</v>
      </c>
      <c r="P142" s="76">
        <v>2119</v>
      </c>
      <c r="Q142" s="31" t="s">
        <v>229</v>
      </c>
      <c r="R142" s="44" t="s">
        <v>158</v>
      </c>
      <c r="S142" s="94"/>
    </row>
    <row r="143" spans="1:19" ht="85.5" x14ac:dyDescent="0.25">
      <c r="A143" s="21">
        <v>143</v>
      </c>
      <c r="B143" s="21">
        <v>55</v>
      </c>
      <c r="C143" s="24" t="str">
        <f t="shared" si="11"/>
        <v>6</v>
      </c>
      <c r="D143" s="40" t="s">
        <v>160</v>
      </c>
      <c r="E143" s="42" t="s">
        <v>311</v>
      </c>
      <c r="F143" s="29" t="str">
        <f t="shared" si="12"/>
        <v>04/11/2025</v>
      </c>
      <c r="G143" s="76">
        <v>70</v>
      </c>
      <c r="H143" s="68">
        <f t="shared" si="13"/>
        <v>2404.5</v>
      </c>
      <c r="I143" s="73" t="s">
        <v>383</v>
      </c>
      <c r="J143" s="111">
        <v>45939</v>
      </c>
      <c r="K143" s="21" t="s">
        <v>157</v>
      </c>
      <c r="L143" s="123">
        <v>45957</v>
      </c>
      <c r="M143" s="123">
        <v>45958</v>
      </c>
      <c r="N143" s="123">
        <v>45967</v>
      </c>
      <c r="O143" s="123">
        <v>45967</v>
      </c>
      <c r="P143" s="76">
        <v>2159</v>
      </c>
      <c r="Q143" s="31" t="s">
        <v>230</v>
      </c>
      <c r="R143" s="44" t="s">
        <v>158</v>
      </c>
      <c r="S143" s="94"/>
    </row>
    <row r="144" spans="1:19" s="50" customFormat="1" ht="85.5" x14ac:dyDescent="0.25">
      <c r="A144" s="21">
        <v>144</v>
      </c>
      <c r="B144" s="23">
        <v>56</v>
      </c>
      <c r="C144" s="24" t="str">
        <f t="shared" si="11"/>
        <v>7</v>
      </c>
      <c r="D144" s="53" t="s">
        <v>159</v>
      </c>
      <c r="E144" s="52" t="s">
        <v>312</v>
      </c>
      <c r="F144" s="29" t="str">
        <f t="shared" si="12"/>
        <v>17/11/2025</v>
      </c>
      <c r="G144" s="78">
        <v>156</v>
      </c>
      <c r="H144" s="71">
        <f t="shared" si="13"/>
        <v>5358.6</v>
      </c>
      <c r="I144" s="74" t="s">
        <v>391</v>
      </c>
      <c r="J144" s="116">
        <v>45952</v>
      </c>
      <c r="K144" s="23" t="s">
        <v>157</v>
      </c>
      <c r="L144" s="127">
        <v>45957</v>
      </c>
      <c r="M144" s="127">
        <v>45959</v>
      </c>
      <c r="N144" s="127">
        <v>45979</v>
      </c>
      <c r="O144" s="127">
        <v>45979</v>
      </c>
      <c r="P144" s="78">
        <v>2523</v>
      </c>
      <c r="Q144" s="57" t="s">
        <v>231</v>
      </c>
      <c r="R144" s="58" t="s">
        <v>158</v>
      </c>
      <c r="S144" s="100"/>
    </row>
    <row r="145" spans="1:20" ht="85.5" x14ac:dyDescent="0.25">
      <c r="A145" s="21">
        <v>145</v>
      </c>
      <c r="B145" s="21">
        <v>57</v>
      </c>
      <c r="C145" s="24" t="str">
        <f t="shared" si="11"/>
        <v>5</v>
      </c>
      <c r="D145" s="59" t="s">
        <v>156</v>
      </c>
      <c r="E145" s="60" t="s">
        <v>358</v>
      </c>
      <c r="F145" s="29" t="str">
        <f t="shared" si="12"/>
        <v>26/11/2025</v>
      </c>
      <c r="G145" s="76">
        <v>100</v>
      </c>
      <c r="H145" s="68">
        <f t="shared" si="13"/>
        <v>4396</v>
      </c>
      <c r="I145" s="73" t="s">
        <v>400</v>
      </c>
      <c r="J145" s="117">
        <v>45972</v>
      </c>
      <c r="K145" s="21" t="s">
        <v>157</v>
      </c>
      <c r="L145" s="131">
        <v>45979</v>
      </c>
      <c r="M145" s="123">
        <v>45980</v>
      </c>
      <c r="N145" s="117">
        <v>45989</v>
      </c>
      <c r="O145" s="123">
        <v>45989</v>
      </c>
      <c r="P145" s="79">
        <v>2543</v>
      </c>
      <c r="Q145" s="61" t="s">
        <v>232</v>
      </c>
      <c r="R145" s="21" t="s">
        <v>158</v>
      </c>
      <c r="S145" s="94"/>
    </row>
    <row r="146" spans="1:20" ht="85.5" x14ac:dyDescent="0.25">
      <c r="A146" s="21">
        <v>146</v>
      </c>
      <c r="B146" s="21">
        <v>58</v>
      </c>
      <c r="C146" s="24" t="str">
        <f t="shared" si="11"/>
        <v>6</v>
      </c>
      <c r="D146" s="62" t="s">
        <v>160</v>
      </c>
      <c r="E146" s="35" t="s">
        <v>429</v>
      </c>
      <c r="F146" s="29" t="str">
        <f t="shared" si="12"/>
        <v xml:space="preserve">1/12/2025
</v>
      </c>
      <c r="G146" s="79">
        <v>1</v>
      </c>
      <c r="H146" s="67">
        <f t="shared" si="13"/>
        <v>34.35</v>
      </c>
      <c r="I146" s="73"/>
      <c r="J146" s="117">
        <v>45992</v>
      </c>
      <c r="K146" s="21" t="s">
        <v>157</v>
      </c>
      <c r="L146" s="120">
        <v>45992</v>
      </c>
      <c r="M146" s="120">
        <v>45992</v>
      </c>
      <c r="N146" s="120">
        <v>45993</v>
      </c>
      <c r="O146" s="120">
        <v>45993</v>
      </c>
      <c r="P146" s="77">
        <v>2553</v>
      </c>
      <c r="Q146" s="88" t="s">
        <v>233</v>
      </c>
      <c r="R146" s="44" t="s">
        <v>158</v>
      </c>
      <c r="S146" s="89"/>
      <c r="T146" s="45"/>
    </row>
    <row r="147" spans="1:20" s="50" customFormat="1" ht="85.5" x14ac:dyDescent="0.25">
      <c r="A147" s="21">
        <v>147</v>
      </c>
      <c r="B147" s="21">
        <v>58</v>
      </c>
      <c r="C147" s="24" t="str">
        <f t="shared" si="11"/>
        <v>2</v>
      </c>
      <c r="D147" s="48" t="s">
        <v>161</v>
      </c>
      <c r="E147" s="35" t="s">
        <v>429</v>
      </c>
      <c r="F147" s="29" t="str">
        <f t="shared" si="12"/>
        <v xml:space="preserve">1/12/2025
</v>
      </c>
      <c r="G147" s="78">
        <v>2</v>
      </c>
      <c r="H147" s="67">
        <f>IF(D147="9-Serviço de Apoio",G147*6.87,IF(D147="8-Café da Manhã",G147*65.44,IF(D147="7-Lunch Box",G147*34.35,IF(D147="4-Coquetel",G147*121.44,IF(D147="1-Empratado especial",G147*92.11,IF(D147="2-Empratado para almoço",G147*78.05,IF(D147="3-Buffet",G147*94.04,IF(D147="5-Coffee Break",G147*43.96,IF(D147="6-Refeições Simplificadas",G147*34.35,IF(D147="10-Serviço de Bebida Especial",G147*100,IF(D147="11-Serviço de Apoio Especial",G147*15,IF(D147="12-Serviço de Apoio Vip",G147*30,IF(D147="13-Brunch",G147*60,"")))))))))))))</f>
        <v>156.1</v>
      </c>
      <c r="I147" s="73"/>
      <c r="J147" s="117">
        <v>45989</v>
      </c>
      <c r="K147" s="44" t="s">
        <v>157</v>
      </c>
      <c r="L147" s="120">
        <v>45992</v>
      </c>
      <c r="M147" s="120">
        <v>45992</v>
      </c>
      <c r="N147" s="120">
        <v>45993</v>
      </c>
      <c r="O147" s="120">
        <v>45993</v>
      </c>
      <c r="P147" s="77">
        <v>2553</v>
      </c>
      <c r="Q147" s="88" t="s">
        <v>420</v>
      </c>
      <c r="R147" s="44" t="s">
        <v>158</v>
      </c>
      <c r="S147" s="86"/>
      <c r="T147" s="63"/>
    </row>
    <row r="148" spans="1:20" s="50" customFormat="1" ht="85.5" x14ac:dyDescent="0.25">
      <c r="A148" s="21">
        <v>148</v>
      </c>
      <c r="B148" s="23">
        <v>59</v>
      </c>
      <c r="C148" s="24" t="str">
        <f t="shared" si="11"/>
        <v>7</v>
      </c>
      <c r="D148" s="64" t="s">
        <v>159</v>
      </c>
      <c r="E148" s="42" t="s">
        <v>359</v>
      </c>
      <c r="F148" s="29" t="str">
        <f t="shared" si="12"/>
        <v>02/12/2025</v>
      </c>
      <c r="G148" s="80">
        <v>56</v>
      </c>
      <c r="H148" s="68">
        <f t="shared" ref="H148:H155" si="14">IF(ISERROR(IF(D148="9-Serviço de Apoio",G148*6.87,IF(D148="8-Café da Manhã",G148*65.44,IF(D148="7-Lunch Box",G148*34.35,IF(D148="4-Coquetel",G148*121.44,IF(D148="1-Empratado especial",G148*92.11,IF(D148="2-Empratado para almoço",G148*78.05,IF(D148="3-Buffet",G148*94.04,IF(D148="5-Coffee Break",G148*43.96,IF(D148="6-Refeições Simplificadas",G148*34.35,IF(D148="10-Serviço de Bebida Especial",G148*100,IF(D148="11-Serviço de Apoio Especial",G148*15,IF(D148="12-Serviço de Apoio Vip",G148*30,IF(D148="13-Brunch",G148*60,"")))))))))))))),"-",IF(D148="9-Serviço de Apoio",G148*6.87,IF(D148="8-Café da Manhã",G148*65.44,IF(D148="7-Lunch Box",G148*34.35,IF(D148="4-Coquetel",G148*121.44,IF(D148="1-Empratado especial",G148*92.11,IF(D148="2-Empratado para almoço",G148*78.05,IF(D148="3-Buffet",G148*94.04,IF(D148="5-Coffee Break",G148*43.96,IF(D148="6-Refeições Simplificadas",G148*34.35,IF(D148="10-Serviço de Bebida Especial",G148*100,IF(D148="11-Serviço de Apoio Especial",G148*15,IF(D148="12-Serviço de Apoio Vip",G148*30,IF(D148="13-Brunch",G148*60,""))))))))))))))</f>
        <v>1923.6000000000001</v>
      </c>
      <c r="I148" s="73"/>
      <c r="J148" s="118">
        <v>45989</v>
      </c>
      <c r="K148" s="21" t="s">
        <v>157</v>
      </c>
      <c r="L148" s="132">
        <v>45992</v>
      </c>
      <c r="M148" s="132">
        <v>45992</v>
      </c>
      <c r="N148" s="132">
        <v>45999</v>
      </c>
      <c r="O148" s="132">
        <v>45999</v>
      </c>
      <c r="P148" s="78">
        <v>2576</v>
      </c>
      <c r="Q148" s="61" t="s">
        <v>234</v>
      </c>
      <c r="R148" s="23" t="s">
        <v>158</v>
      </c>
      <c r="S148" s="103"/>
      <c r="T148" s="63"/>
    </row>
    <row r="149" spans="1:20" ht="85.5" x14ac:dyDescent="0.25">
      <c r="A149" s="21">
        <v>149</v>
      </c>
      <c r="B149" s="21">
        <v>60</v>
      </c>
      <c r="C149" s="24" t="str">
        <f t="shared" si="11"/>
        <v>9</v>
      </c>
      <c r="D149" s="34" t="s">
        <v>162</v>
      </c>
      <c r="E149" s="35" t="s">
        <v>314</v>
      </c>
      <c r="F149" s="29" t="str">
        <f t="shared" si="12"/>
        <v>09/12/2025</v>
      </c>
      <c r="G149" s="76">
        <v>10</v>
      </c>
      <c r="H149" s="67">
        <f t="shared" si="14"/>
        <v>68.7</v>
      </c>
      <c r="I149" s="73"/>
      <c r="J149" s="111">
        <v>45967</v>
      </c>
      <c r="K149" s="21" t="s">
        <v>157</v>
      </c>
      <c r="L149" s="123">
        <v>45973</v>
      </c>
      <c r="M149" s="123">
        <v>45985</v>
      </c>
      <c r="N149" s="123">
        <v>46002</v>
      </c>
      <c r="O149" s="123">
        <v>46002</v>
      </c>
      <c r="P149" s="77">
        <v>2585</v>
      </c>
      <c r="Q149" s="88" t="s">
        <v>235</v>
      </c>
      <c r="R149" s="104" t="s">
        <v>158</v>
      </c>
      <c r="S149" s="105"/>
    </row>
    <row r="150" spans="1:20" ht="85.5" x14ac:dyDescent="0.25">
      <c r="A150" s="21">
        <v>150</v>
      </c>
      <c r="B150" s="21">
        <v>60</v>
      </c>
      <c r="C150" s="24" t="str">
        <f t="shared" si="11"/>
        <v>12</v>
      </c>
      <c r="D150" s="34" t="s">
        <v>165</v>
      </c>
      <c r="E150" s="35" t="s">
        <v>313</v>
      </c>
      <c r="F150" s="29" t="str">
        <f t="shared" si="12"/>
        <v>09/12/2025</v>
      </c>
      <c r="G150" s="79">
        <v>90</v>
      </c>
      <c r="H150" s="67">
        <f t="shared" si="14"/>
        <v>2700</v>
      </c>
      <c r="I150" s="73" t="s">
        <v>401</v>
      </c>
      <c r="J150" s="111">
        <v>45967</v>
      </c>
      <c r="K150" s="21" t="s">
        <v>157</v>
      </c>
      <c r="L150" s="123">
        <v>45973</v>
      </c>
      <c r="M150" s="123">
        <v>45985</v>
      </c>
      <c r="N150" s="123">
        <v>46002</v>
      </c>
      <c r="O150" s="123">
        <v>46002</v>
      </c>
      <c r="P150" s="77">
        <v>2585</v>
      </c>
      <c r="Q150" s="88" t="s">
        <v>421</v>
      </c>
      <c r="R150" s="104" t="s">
        <v>158</v>
      </c>
      <c r="S150" s="106"/>
    </row>
    <row r="151" spans="1:20" ht="85.5" x14ac:dyDescent="0.25">
      <c r="A151" s="21">
        <v>151</v>
      </c>
      <c r="B151" s="21">
        <v>60</v>
      </c>
      <c r="C151" s="24" t="str">
        <f t="shared" si="11"/>
        <v>11</v>
      </c>
      <c r="D151" s="34" t="s">
        <v>169</v>
      </c>
      <c r="E151" s="35" t="s">
        <v>314</v>
      </c>
      <c r="F151" s="29" t="str">
        <f t="shared" si="12"/>
        <v>09/12/2025</v>
      </c>
      <c r="G151" s="79">
        <v>10</v>
      </c>
      <c r="H151" s="67">
        <f t="shared" si="14"/>
        <v>150</v>
      </c>
      <c r="I151" s="73"/>
      <c r="J151" s="111">
        <v>45967</v>
      </c>
      <c r="K151" s="21" t="s">
        <v>157</v>
      </c>
      <c r="L151" s="123">
        <v>45973</v>
      </c>
      <c r="M151" s="123">
        <v>45985</v>
      </c>
      <c r="N151" s="123">
        <v>46002</v>
      </c>
      <c r="O151" s="123">
        <v>46002</v>
      </c>
      <c r="P151" s="77">
        <v>2585</v>
      </c>
      <c r="Q151" s="88" t="s">
        <v>422</v>
      </c>
      <c r="R151" s="104" t="s">
        <v>158</v>
      </c>
      <c r="S151" s="106"/>
    </row>
    <row r="152" spans="1:20" ht="85.5" x14ac:dyDescent="0.25">
      <c r="A152" s="21">
        <v>152</v>
      </c>
      <c r="B152" s="21">
        <v>60</v>
      </c>
      <c r="C152" s="24" t="str">
        <f t="shared" si="11"/>
        <v>2</v>
      </c>
      <c r="D152" s="34" t="s">
        <v>161</v>
      </c>
      <c r="E152" s="35" t="s">
        <v>315</v>
      </c>
      <c r="F152" s="29" t="str">
        <f t="shared" si="12"/>
        <v>09/12/2025</v>
      </c>
      <c r="G152" s="79">
        <v>7</v>
      </c>
      <c r="H152" s="67">
        <f t="shared" si="14"/>
        <v>546.35</v>
      </c>
      <c r="I152" s="73" t="s">
        <v>374</v>
      </c>
      <c r="J152" s="111">
        <v>45971</v>
      </c>
      <c r="K152" s="21" t="s">
        <v>157</v>
      </c>
      <c r="L152" s="123">
        <v>45973</v>
      </c>
      <c r="M152" s="123">
        <v>45985</v>
      </c>
      <c r="N152" s="123">
        <v>46002</v>
      </c>
      <c r="O152" s="123">
        <v>46002</v>
      </c>
      <c r="P152" s="77">
        <v>2585</v>
      </c>
      <c r="Q152" s="88" t="s">
        <v>423</v>
      </c>
      <c r="R152" s="104" t="s">
        <v>158</v>
      </c>
      <c r="S152" s="106"/>
    </row>
    <row r="153" spans="1:20" ht="85.5" x14ac:dyDescent="0.25">
      <c r="A153" s="21">
        <v>153</v>
      </c>
      <c r="B153" s="21">
        <v>60</v>
      </c>
      <c r="C153" s="24" t="str">
        <f t="shared" si="11"/>
        <v>9</v>
      </c>
      <c r="D153" s="34" t="s">
        <v>162</v>
      </c>
      <c r="E153" s="35" t="s">
        <v>360</v>
      </c>
      <c r="F153" s="29" t="str">
        <f t="shared" si="12"/>
        <v>09/12/2025</v>
      </c>
      <c r="G153" s="79">
        <v>15</v>
      </c>
      <c r="H153" s="67">
        <f t="shared" si="14"/>
        <v>103.05</v>
      </c>
      <c r="I153" s="73"/>
      <c r="J153" s="111">
        <v>45967</v>
      </c>
      <c r="K153" s="21" t="s">
        <v>157</v>
      </c>
      <c r="L153" s="123">
        <v>45973</v>
      </c>
      <c r="M153" s="123">
        <v>45985</v>
      </c>
      <c r="N153" s="123">
        <v>46002</v>
      </c>
      <c r="O153" s="123">
        <v>46002</v>
      </c>
      <c r="P153" s="77">
        <v>2585</v>
      </c>
      <c r="Q153" s="88" t="s">
        <v>424</v>
      </c>
      <c r="R153" s="104" t="s">
        <v>158</v>
      </c>
      <c r="S153" s="106"/>
    </row>
    <row r="154" spans="1:20" ht="85.5" x14ac:dyDescent="0.25">
      <c r="A154" s="21">
        <v>154</v>
      </c>
      <c r="B154" s="21">
        <v>60</v>
      </c>
      <c r="C154" s="24" t="str">
        <f t="shared" si="11"/>
        <v>12</v>
      </c>
      <c r="D154" s="34" t="s">
        <v>165</v>
      </c>
      <c r="E154" s="35" t="s">
        <v>361</v>
      </c>
      <c r="F154" s="29" t="str">
        <f t="shared" si="12"/>
        <v>09/12/2025</v>
      </c>
      <c r="G154" s="79">
        <v>70</v>
      </c>
      <c r="H154" s="67">
        <f t="shared" si="14"/>
        <v>2100</v>
      </c>
      <c r="I154" s="73" t="s">
        <v>401</v>
      </c>
      <c r="J154" s="111">
        <v>45967</v>
      </c>
      <c r="K154" s="21" t="s">
        <v>157</v>
      </c>
      <c r="L154" s="123">
        <v>45973</v>
      </c>
      <c r="M154" s="123">
        <v>45985</v>
      </c>
      <c r="N154" s="123">
        <v>46002</v>
      </c>
      <c r="O154" s="123">
        <v>46002</v>
      </c>
      <c r="P154" s="77">
        <v>2585</v>
      </c>
      <c r="Q154" s="88" t="s">
        <v>425</v>
      </c>
      <c r="R154" s="104" t="s">
        <v>158</v>
      </c>
      <c r="S154" s="106"/>
    </row>
    <row r="155" spans="1:20" ht="85.5" x14ac:dyDescent="0.25">
      <c r="A155" s="21">
        <v>155</v>
      </c>
      <c r="B155" s="21">
        <v>60</v>
      </c>
      <c r="C155" s="24" t="str">
        <f t="shared" si="11"/>
        <v>11</v>
      </c>
      <c r="D155" s="34" t="s">
        <v>169</v>
      </c>
      <c r="E155" s="35" t="s">
        <v>360</v>
      </c>
      <c r="F155" s="29" t="str">
        <f t="shared" si="12"/>
        <v>09/12/2025</v>
      </c>
      <c r="G155" s="79">
        <v>20</v>
      </c>
      <c r="H155" s="67">
        <f t="shared" si="14"/>
        <v>300</v>
      </c>
      <c r="I155" s="73"/>
      <c r="J155" s="111">
        <v>45967</v>
      </c>
      <c r="K155" s="21" t="s">
        <v>157</v>
      </c>
      <c r="L155" s="123">
        <v>45973</v>
      </c>
      <c r="M155" s="123">
        <v>45985</v>
      </c>
      <c r="N155" s="123">
        <v>46002</v>
      </c>
      <c r="O155" s="123">
        <v>46002</v>
      </c>
      <c r="P155" s="77">
        <v>2585</v>
      </c>
      <c r="Q155" s="88" t="s">
        <v>426</v>
      </c>
      <c r="R155" s="104" t="s">
        <v>158</v>
      </c>
      <c r="S155" s="107"/>
    </row>
    <row r="156" spans="1:20" ht="27.75" x14ac:dyDescent="0.25">
      <c r="A156" s="21">
        <v>156</v>
      </c>
      <c r="B156" s="21">
        <v>61</v>
      </c>
      <c r="C156" s="24" t="str">
        <f t="shared" si="11"/>
        <v>7</v>
      </c>
      <c r="D156" s="34" t="s">
        <v>159</v>
      </c>
      <c r="E156" s="35" t="s">
        <v>362</v>
      </c>
      <c r="F156" s="29" t="str">
        <f t="shared" si="12"/>
        <v>09/02/2026</v>
      </c>
      <c r="G156" s="79">
        <v>18</v>
      </c>
      <c r="H156" s="67">
        <f>IF(D156="9-Serviço de Apoio",G156*'[1]Controle Geral'!$M$20,IF(D156="8-Café da Manhã",G156*'[1]Controle Geral'!$M$19,IF(D156="7-Lunch Box",G156*'[1]Controle Geral'!$M$18,IF(D156="4-Coquetel",G156*'[1]Controle Geral'!$M$15,IF(D156="1-Empratado especial",G156*'[1]Controle Geral'!$M$12,IF(D156="2-Empratado para almoço",G156*'[1]Controle Geral'!$M$13,IF(D156="3-Buffet",G156*'[1]Controle Geral'!$M$14,IF(D156="5-Coffee Break",G156*'[1]Controle Geral'!$M$16,IF(D156="6-Refeições Simplificadas",G156*'[1]Controle Geral'!$M$17,IF(D156="10-Serviço de Bebida Especial",G156*'[1]Controle Geral'!$M$21,IF(D156="11-Serviço de Apoio Especial",G156*'[1]Controle Geral'!$M$22,IF(D156="12-Serviço de Apoio Vip",G156*'[1]Controle Geral'!$M$23,IF(D156="13-Brunch",G156*'[1]Controle Geral'!$M$24,"")))))))))))))</f>
        <v>672.84</v>
      </c>
      <c r="I156" s="73"/>
      <c r="J156" s="110">
        <v>46037</v>
      </c>
      <c r="K156" s="21" t="s">
        <v>157</v>
      </c>
      <c r="L156" s="124">
        <v>46038</v>
      </c>
      <c r="M156" s="124">
        <v>46042</v>
      </c>
      <c r="N156" s="123">
        <v>46087</v>
      </c>
      <c r="O156" s="123">
        <v>46090</v>
      </c>
      <c r="P156" s="77">
        <v>2585</v>
      </c>
      <c r="Q156" s="11"/>
      <c r="R156" s="104"/>
      <c r="S156" s="94"/>
    </row>
    <row r="157" spans="1:20" ht="27.75" x14ac:dyDescent="0.25">
      <c r="A157" s="21">
        <v>157</v>
      </c>
      <c r="B157" s="21">
        <v>61</v>
      </c>
      <c r="C157" s="24" t="str">
        <f t="shared" si="11"/>
        <v>7</v>
      </c>
      <c r="D157" s="62" t="s">
        <v>159</v>
      </c>
      <c r="E157" s="35" t="s">
        <v>363</v>
      </c>
      <c r="F157" s="29" t="str">
        <f t="shared" si="12"/>
        <v>10/02/2026</v>
      </c>
      <c r="G157" s="76">
        <v>18</v>
      </c>
      <c r="H157" s="67">
        <f>IF(D157="9-Serviço de Apoio",G157*'[1]Controle Geral'!$M$20,IF(D157="8-Café da Manhã",G157*'[1]Controle Geral'!$M$19,IF(D157="7-Lunch Box",G157*'[1]Controle Geral'!$M$18,IF(D157="4-Coquetel",G157*'[1]Controle Geral'!$M$15,IF(D157="1-Empratado especial",G157*'[1]Controle Geral'!$M$12,IF(D157="2-Empratado para almoço",G157*'[1]Controle Geral'!$M$13,IF(D157="3-Buffet",G157*'[1]Controle Geral'!$M$14,IF(D157="5-Coffee Break",G157*'[1]Controle Geral'!$M$16,IF(D157="6-Refeições Simplificadas",G157*'[1]Controle Geral'!$M$17,IF(D157="10-Serviço de Bebida Especial",G157*'[1]Controle Geral'!$M$21,IF(D157="11-Serviço de Apoio Especial",G157*'[1]Controle Geral'!$M$22,IF(D157="12-Serviço de Apoio Vip",G157*'[1]Controle Geral'!$M$23,IF(D157="13-Brunch",G157*'[1]Controle Geral'!$M$24,"")))))))))))))</f>
        <v>672.84</v>
      </c>
      <c r="I157" s="73"/>
      <c r="J157" s="110">
        <v>46037</v>
      </c>
      <c r="K157" s="21" t="s">
        <v>157</v>
      </c>
      <c r="L157" s="124">
        <v>46038</v>
      </c>
      <c r="M157" s="124">
        <v>46042</v>
      </c>
      <c r="N157" s="123">
        <v>46087</v>
      </c>
      <c r="O157" s="123">
        <v>46090</v>
      </c>
      <c r="P157" s="77">
        <v>2585</v>
      </c>
      <c r="Q157" s="11"/>
      <c r="R157" s="104"/>
      <c r="S157" s="94"/>
    </row>
    <row r="158" spans="1:20" ht="27.75" x14ac:dyDescent="0.25">
      <c r="A158" s="21">
        <v>158</v>
      </c>
      <c r="B158" s="21">
        <v>61</v>
      </c>
      <c r="C158" s="24" t="str">
        <f t="shared" si="11"/>
        <v>7</v>
      </c>
      <c r="D158" s="62" t="s">
        <v>159</v>
      </c>
      <c r="E158" s="35" t="s">
        <v>364</v>
      </c>
      <c r="F158" s="29" t="str">
        <f t="shared" si="12"/>
        <v>11/02/2026</v>
      </c>
      <c r="G158" s="76">
        <v>18</v>
      </c>
      <c r="H158" s="67">
        <f>IF(D158="9-Serviço de Apoio",G158*'[1]Controle Geral'!$M$20,IF(D158="8-Café da Manhã",G158*'[1]Controle Geral'!$M$19,IF(D158="7-Lunch Box",G158*'[1]Controle Geral'!$M$18,IF(D158="4-Coquetel",G158*'[1]Controle Geral'!$M$15,IF(D158="1-Empratado especial",G158*'[1]Controle Geral'!$M$12,IF(D158="2-Empratado para almoço",G158*'[1]Controle Geral'!$M$13,IF(D158="3-Buffet",G158*'[1]Controle Geral'!$M$14,IF(D158="5-Coffee Break",G158*'[1]Controle Geral'!$M$16,IF(D158="6-Refeições Simplificadas",G158*'[1]Controle Geral'!$M$17,IF(D158="10-Serviço de Bebida Especial",G158*'[1]Controle Geral'!$M$21,IF(D158="11-Serviço de Apoio Especial",G158*'[1]Controle Geral'!$M$22,IF(D158="12-Serviço de Apoio Vip",G158*'[1]Controle Geral'!$M$23,IF(D158="13-Brunch",G158*'[1]Controle Geral'!$M$24,"")))))))))))))</f>
        <v>672.84</v>
      </c>
      <c r="I158" s="73"/>
      <c r="J158" s="110">
        <v>46037</v>
      </c>
      <c r="K158" s="21" t="s">
        <v>157</v>
      </c>
      <c r="L158" s="124">
        <v>46038</v>
      </c>
      <c r="M158" s="124">
        <v>46042</v>
      </c>
      <c r="N158" s="123">
        <v>46087</v>
      </c>
      <c r="O158" s="123">
        <v>46090</v>
      </c>
      <c r="P158" s="77">
        <v>2585</v>
      </c>
      <c r="Q158" s="11"/>
      <c r="R158" s="104"/>
      <c r="S158" s="94"/>
    </row>
    <row r="159" spans="1:20" ht="27.75" x14ac:dyDescent="0.25">
      <c r="A159" s="21">
        <v>159</v>
      </c>
      <c r="B159" s="21">
        <v>61</v>
      </c>
      <c r="C159" s="24" t="str">
        <f t="shared" si="11"/>
        <v>7</v>
      </c>
      <c r="D159" s="62" t="s">
        <v>159</v>
      </c>
      <c r="E159" s="35" t="s">
        <v>365</v>
      </c>
      <c r="F159" s="29" t="str">
        <f t="shared" si="12"/>
        <v>12/02/2026</v>
      </c>
      <c r="G159" s="76">
        <v>18</v>
      </c>
      <c r="H159" s="67">
        <f>IF(D159="9-Serviço de Apoio",G159*'[1]Controle Geral'!$M$20,IF(D159="8-Café da Manhã",G159*'[1]Controle Geral'!$M$19,IF(D159="7-Lunch Box",G159*'[1]Controle Geral'!$M$18,IF(D159="4-Coquetel",G159*'[1]Controle Geral'!$M$15,IF(D159="1-Empratado especial",G159*'[1]Controle Geral'!$M$12,IF(D159="2-Empratado para almoço",G159*'[1]Controle Geral'!$M$13,IF(D159="3-Buffet",G159*'[1]Controle Geral'!$M$14,IF(D159="5-Coffee Break",G159*'[1]Controle Geral'!$M$16,IF(D159="6-Refeições Simplificadas",G159*'[1]Controle Geral'!$M$17,IF(D159="10-Serviço de Bebida Especial",G159*'[1]Controle Geral'!$M$21,IF(D159="11-Serviço de Apoio Especial",G159*'[1]Controle Geral'!$M$22,IF(D159="12-Serviço de Apoio Vip",G159*'[1]Controle Geral'!$M$23,IF(D159="13-Brunch",G159*'[1]Controle Geral'!$M$24,"")))))))))))))</f>
        <v>672.84</v>
      </c>
      <c r="I159" s="73"/>
      <c r="J159" s="110">
        <v>46037</v>
      </c>
      <c r="K159" s="21" t="s">
        <v>157</v>
      </c>
      <c r="L159" s="124">
        <v>46038</v>
      </c>
      <c r="M159" s="124">
        <v>46042</v>
      </c>
      <c r="N159" s="123">
        <v>46087</v>
      </c>
      <c r="O159" s="123">
        <v>46090</v>
      </c>
      <c r="P159" s="77">
        <v>2585</v>
      </c>
      <c r="Q159" s="11"/>
      <c r="R159" s="104"/>
      <c r="S159" s="94"/>
    </row>
    <row r="160" spans="1:20" ht="27.75" x14ac:dyDescent="0.25">
      <c r="A160" s="21">
        <v>160</v>
      </c>
      <c r="B160" s="21">
        <v>61</v>
      </c>
      <c r="C160" s="24" t="str">
        <f t="shared" si="11"/>
        <v>7</v>
      </c>
      <c r="D160" s="62" t="s">
        <v>159</v>
      </c>
      <c r="E160" s="35" t="s">
        <v>366</v>
      </c>
      <c r="F160" s="29" t="str">
        <f t="shared" si="12"/>
        <v>13/02/2026</v>
      </c>
      <c r="G160" s="79">
        <v>18</v>
      </c>
      <c r="H160" s="67">
        <f>IF(D160="9-Serviço de Apoio",G160*'[1]Controle Geral'!$M$20,IF(D160="8-Café da Manhã",G160*'[1]Controle Geral'!$M$19,IF(D160="7-Lunch Box",G160*'[1]Controle Geral'!$M$18,IF(D160="4-Coquetel",G160*'[1]Controle Geral'!$M$15,IF(D160="1-Empratado especial",G160*'[1]Controle Geral'!$M$12,IF(D160="2-Empratado para almoço",G160*'[1]Controle Geral'!$M$13,IF(D160="3-Buffet",G160*'[1]Controle Geral'!$M$14,IF(D160="5-Coffee Break",G160*'[1]Controle Geral'!$M$16,IF(D160="6-Refeições Simplificadas",G160*'[1]Controle Geral'!$M$17,IF(D160="10-Serviço de Bebida Especial",G160*'[1]Controle Geral'!$M$21,IF(D160="11-Serviço de Apoio Especial",G160*'[1]Controle Geral'!$M$22,IF(D160="12-Serviço de Apoio Vip",G160*'[1]Controle Geral'!$M$23,IF(D160="13-Brunch",G160*'[1]Controle Geral'!$M$24,"")))))))))))))</f>
        <v>672.84</v>
      </c>
      <c r="I160" s="73"/>
      <c r="J160" s="110">
        <v>46037</v>
      </c>
      <c r="K160" s="21" t="s">
        <v>157</v>
      </c>
      <c r="L160" s="124">
        <v>46038</v>
      </c>
      <c r="M160" s="124">
        <v>46042</v>
      </c>
      <c r="N160" s="123">
        <v>46087</v>
      </c>
      <c r="O160" s="123">
        <v>46090</v>
      </c>
      <c r="P160" s="77">
        <v>2585</v>
      </c>
      <c r="Q160" s="11"/>
      <c r="R160" s="104"/>
      <c r="S160" s="94"/>
    </row>
    <row r="161" spans="1:19" ht="27.75" x14ac:dyDescent="0.25">
      <c r="A161" s="21">
        <v>161</v>
      </c>
      <c r="B161" s="21">
        <v>61</v>
      </c>
      <c r="C161" s="24" t="str">
        <f t="shared" si="11"/>
        <v>7</v>
      </c>
      <c r="D161" s="34" t="s">
        <v>159</v>
      </c>
      <c r="E161" s="35" t="s">
        <v>367</v>
      </c>
      <c r="F161" s="29" t="str">
        <f t="shared" si="12"/>
        <v>19/02/2026</v>
      </c>
      <c r="G161" s="76">
        <v>18</v>
      </c>
      <c r="H161" s="67">
        <f>IF(D161="9-Serviço de Apoio",G161*'[1]Controle Geral'!$M$20,IF(D161="8-Café da Manhã",G161*'[1]Controle Geral'!$M$19,IF(D161="7-Lunch Box",G161*'[1]Controle Geral'!$M$18,IF(D161="4-Coquetel",G161*'[1]Controle Geral'!$M$15,IF(D161="1-Empratado especial",G161*'[1]Controle Geral'!$M$12,IF(D161="2-Empratado para almoço",G161*'[1]Controle Geral'!$M$13,IF(D161="3-Buffet",G161*'[1]Controle Geral'!$M$14,IF(D161="5-Coffee Break",G161*'[1]Controle Geral'!$M$16,IF(D161="6-Refeições Simplificadas",G161*'[1]Controle Geral'!$M$17,IF(D161="10-Serviço de Bebida Especial",G161*'[1]Controle Geral'!$M$21,IF(D161="11-Serviço de Apoio Especial",G161*'[1]Controle Geral'!$M$22,IF(D161="12-Serviço de Apoio Vip",G161*'[1]Controle Geral'!$M$23,IF(D161="13-Brunch",G161*'[1]Controle Geral'!$M$24,"")))))))))))))</f>
        <v>672.84</v>
      </c>
      <c r="I161" s="73"/>
      <c r="J161" s="110">
        <v>46065</v>
      </c>
      <c r="K161" s="21" t="s">
        <v>157</v>
      </c>
      <c r="L161" s="124">
        <v>46066</v>
      </c>
      <c r="M161" s="124">
        <v>46066</v>
      </c>
      <c r="N161" s="123">
        <v>46087</v>
      </c>
      <c r="O161" s="123">
        <v>46090</v>
      </c>
      <c r="P161" s="77">
        <v>2585</v>
      </c>
      <c r="Q161" s="11"/>
      <c r="R161" s="104"/>
      <c r="S161" s="94"/>
    </row>
    <row r="162" spans="1:19" ht="27.75" x14ac:dyDescent="0.25">
      <c r="A162" s="21">
        <v>162</v>
      </c>
      <c r="B162" s="21">
        <v>61</v>
      </c>
      <c r="C162" s="24" t="str">
        <f t="shared" si="11"/>
        <v>7</v>
      </c>
      <c r="D162" s="34" t="s">
        <v>159</v>
      </c>
      <c r="E162" s="35" t="s">
        <v>368</v>
      </c>
      <c r="F162" s="29" t="str">
        <f t="shared" si="12"/>
        <v>20/02/2026</v>
      </c>
      <c r="G162" s="76">
        <v>18</v>
      </c>
      <c r="H162" s="67">
        <f>IF(D162="9-Serviço de Apoio",G162*'[1]Controle Geral'!$M$20,IF(D162="8-Café da Manhã",G162*'[1]Controle Geral'!$M$19,IF(D162="7-Lunch Box",G162*'[1]Controle Geral'!$M$18,IF(D162="4-Coquetel",G162*'[1]Controle Geral'!$M$15,IF(D162="1-Empratado especial",G162*'[1]Controle Geral'!$M$12,IF(D162="2-Empratado para almoço",G162*'[1]Controle Geral'!$M$13,IF(D162="3-Buffet",G162*'[1]Controle Geral'!$M$14,IF(D162="5-Coffee Break",G162*'[1]Controle Geral'!$M$16,IF(D162="6-Refeições Simplificadas",G162*'[1]Controle Geral'!$M$17,IF(D162="10-Serviço de Bebida Especial",G162*'[1]Controle Geral'!$M$21,IF(D162="11-Serviço de Apoio Especial",G162*'[1]Controle Geral'!$M$22,IF(D162="12-Serviço de Apoio Vip",G162*'[1]Controle Geral'!$M$23,IF(D162="13-Brunch",G162*'[1]Controle Geral'!$M$24,"")))))))))))))</f>
        <v>672.84</v>
      </c>
      <c r="I162" s="73"/>
      <c r="J162" s="110">
        <v>46065</v>
      </c>
      <c r="K162" s="21" t="s">
        <v>157</v>
      </c>
      <c r="L162" s="124">
        <v>46066</v>
      </c>
      <c r="M162" s="124">
        <v>46066</v>
      </c>
      <c r="N162" s="123">
        <v>46087</v>
      </c>
      <c r="O162" s="123">
        <v>46090</v>
      </c>
      <c r="P162" s="77">
        <v>2585</v>
      </c>
      <c r="Q162" s="11"/>
      <c r="R162" s="104"/>
      <c r="S162" s="94"/>
    </row>
    <row r="163" spans="1:19" ht="27.75" x14ac:dyDescent="0.25">
      <c r="A163" s="21">
        <v>163</v>
      </c>
      <c r="B163" s="21">
        <v>61</v>
      </c>
      <c r="C163" s="24" t="str">
        <f t="shared" si="11"/>
        <v>7</v>
      </c>
      <c r="D163" s="34" t="s">
        <v>159</v>
      </c>
      <c r="E163" s="35" t="s">
        <v>369</v>
      </c>
      <c r="F163" s="29" t="str">
        <f t="shared" si="12"/>
        <v>23/02/2026</v>
      </c>
      <c r="G163" s="76">
        <v>18</v>
      </c>
      <c r="H163" s="67">
        <f>IF(D163="9-Serviço de Apoio",G163*'[1]Controle Geral'!$M$20,IF(D163="8-Café da Manhã",G163*'[1]Controle Geral'!$M$19,IF(D163="7-Lunch Box",G163*'[1]Controle Geral'!$M$18,IF(D163="4-Coquetel",G163*'[1]Controle Geral'!$M$15,IF(D163="1-Empratado especial",G163*'[1]Controle Geral'!$M$12,IF(D163="2-Empratado para almoço",G163*'[1]Controle Geral'!$M$13,IF(D163="3-Buffet",G163*'[1]Controle Geral'!$M$14,IF(D163="5-Coffee Break",G163*'[1]Controle Geral'!$M$16,IF(D163="6-Refeições Simplificadas",G163*'[1]Controle Geral'!$M$17,IF(D163="10-Serviço de Bebida Especial",G163*'[1]Controle Geral'!$M$21,IF(D163="11-Serviço de Apoio Especial",G163*'[1]Controle Geral'!$M$22,IF(D163="12-Serviço de Apoio Vip",G163*'[1]Controle Geral'!$M$23,IF(D163="13-Brunch",G163*'[1]Controle Geral'!$M$24,"")))))))))))))</f>
        <v>672.84</v>
      </c>
      <c r="I163" s="73"/>
      <c r="J163" s="110">
        <v>46072</v>
      </c>
      <c r="K163" s="21" t="s">
        <v>157</v>
      </c>
      <c r="L163" s="123">
        <v>46072</v>
      </c>
      <c r="M163" s="123">
        <v>46072</v>
      </c>
      <c r="N163" s="123">
        <v>46087</v>
      </c>
      <c r="O163" s="123">
        <v>46090</v>
      </c>
      <c r="P163" s="77">
        <v>2585</v>
      </c>
      <c r="Q163" s="11"/>
      <c r="R163" s="104"/>
      <c r="S163" s="94"/>
    </row>
    <row r="164" spans="1:19" ht="27.75" x14ac:dyDescent="0.25">
      <c r="A164" s="21">
        <v>164</v>
      </c>
      <c r="B164" s="21">
        <v>61</v>
      </c>
      <c r="C164" s="24" t="str">
        <f t="shared" si="11"/>
        <v>7</v>
      </c>
      <c r="D164" s="34" t="s">
        <v>159</v>
      </c>
      <c r="E164" s="35" t="s">
        <v>370</v>
      </c>
      <c r="F164" s="29" t="str">
        <f t="shared" si="12"/>
        <v>24/02/2026</v>
      </c>
      <c r="G164" s="76">
        <v>18</v>
      </c>
      <c r="H164" s="67">
        <f>IF(D164="9-Serviço de Apoio",G164*'[1]Controle Geral'!$M$20,IF(D164="8-Café da Manhã",G164*'[1]Controle Geral'!$M$19,IF(D164="7-Lunch Box",G164*'[1]Controle Geral'!$M$18,IF(D164="4-Coquetel",G164*'[1]Controle Geral'!$M$15,IF(D164="1-Empratado especial",G164*'[1]Controle Geral'!$M$12,IF(D164="2-Empratado para almoço",G164*'[1]Controle Geral'!$M$13,IF(D164="3-Buffet",G164*'[1]Controle Geral'!$M$14,IF(D164="5-Coffee Break",G164*'[1]Controle Geral'!$M$16,IF(D164="6-Refeições Simplificadas",G164*'[1]Controle Geral'!$M$17,IF(D164="10-Serviço de Bebida Especial",G164*'[1]Controle Geral'!$M$21,IF(D164="11-Serviço de Apoio Especial",G164*'[1]Controle Geral'!$M$22,IF(D164="12-Serviço de Apoio Vip",G164*'[1]Controle Geral'!$M$23,IF(D164="13-Brunch",G164*'[1]Controle Geral'!$M$24,"")))))))))))))</f>
        <v>672.84</v>
      </c>
      <c r="I164" s="73"/>
      <c r="J164" s="110">
        <v>46072</v>
      </c>
      <c r="K164" s="21" t="s">
        <v>157</v>
      </c>
      <c r="L164" s="123">
        <v>46072</v>
      </c>
      <c r="M164" s="123">
        <v>46072</v>
      </c>
      <c r="N164" s="123">
        <v>46087</v>
      </c>
      <c r="O164" s="123">
        <v>46090</v>
      </c>
      <c r="P164" s="77">
        <v>2585</v>
      </c>
      <c r="Q164" s="11"/>
      <c r="R164" s="104"/>
      <c r="S164" s="94"/>
    </row>
    <row r="165" spans="1:19" ht="27.75" x14ac:dyDescent="0.25">
      <c r="A165" s="21">
        <v>165</v>
      </c>
      <c r="B165" s="21">
        <v>61</v>
      </c>
      <c r="C165" s="24" t="str">
        <f t="shared" si="11"/>
        <v>7</v>
      </c>
      <c r="D165" s="34" t="s">
        <v>159</v>
      </c>
      <c r="E165" s="35" t="s">
        <v>316</v>
      </c>
      <c r="F165" s="29" t="str">
        <f t="shared" si="12"/>
        <v>25/02/2026</v>
      </c>
      <c r="G165" s="76">
        <v>15</v>
      </c>
      <c r="H165" s="67">
        <f>IF(D165="9-Serviço de Apoio",G165*'[1]Controle Geral'!$M$20,IF(D165="8-Café da Manhã",G165*'[1]Controle Geral'!$M$19,IF(D165="7-Lunch Box",G165*'[1]Controle Geral'!$M$18,IF(D165="4-Coquetel",G165*'[1]Controle Geral'!$M$15,IF(D165="1-Empratado especial",G165*'[1]Controle Geral'!$M$12,IF(D165="2-Empratado para almoço",G165*'[1]Controle Geral'!$M$13,IF(D165="3-Buffet",G165*'[1]Controle Geral'!$M$14,IF(D165="5-Coffee Break",G165*'[1]Controle Geral'!$M$16,IF(D165="6-Refeições Simplificadas",G165*'[1]Controle Geral'!$M$17,IF(D165="10-Serviço de Bebida Especial",G165*'[1]Controle Geral'!$M$21,IF(D165="11-Serviço de Apoio Especial",G165*'[1]Controle Geral'!$M$22,IF(D165="12-Serviço de Apoio Vip",G165*'[1]Controle Geral'!$M$23,IF(D165="13-Brunch",G165*'[1]Controle Geral'!$M$24,"")))))))))))))</f>
        <v>560.70000000000005</v>
      </c>
      <c r="I165" s="73"/>
      <c r="J165" s="110">
        <v>46077</v>
      </c>
      <c r="K165" s="21" t="s">
        <v>157</v>
      </c>
      <c r="L165" s="123">
        <v>46077</v>
      </c>
      <c r="M165" s="123">
        <v>46077</v>
      </c>
      <c r="N165" s="123">
        <v>46087</v>
      </c>
      <c r="O165" s="123">
        <v>46090</v>
      </c>
      <c r="P165" s="77">
        <v>2585</v>
      </c>
      <c r="Q165" s="11"/>
      <c r="R165" s="104"/>
      <c r="S165" s="94"/>
    </row>
    <row r="166" spans="1:19" ht="27.75" x14ac:dyDescent="0.25">
      <c r="A166" s="21">
        <v>166</v>
      </c>
      <c r="B166" s="21">
        <v>61</v>
      </c>
      <c r="C166" s="24" t="str">
        <f t="shared" si="11"/>
        <v>7</v>
      </c>
      <c r="D166" s="34" t="s">
        <v>159</v>
      </c>
      <c r="E166" s="35" t="s">
        <v>317</v>
      </c>
      <c r="F166" s="29" t="str">
        <f t="shared" si="12"/>
        <v>26/02/2026</v>
      </c>
      <c r="G166" s="76">
        <v>15</v>
      </c>
      <c r="H166" s="67">
        <f>IF(D166="9-Serviço de Apoio",G166*'[1]Controle Geral'!$M$20,IF(D166="8-Café da Manhã",G166*'[1]Controle Geral'!$M$19,IF(D166="7-Lunch Box",G166*'[1]Controle Geral'!$M$18,IF(D166="4-Coquetel",G166*'[1]Controle Geral'!$M$15,IF(D166="1-Empratado especial",G166*'[1]Controle Geral'!$M$12,IF(D166="2-Empratado para almoço",G166*'[1]Controle Geral'!$M$13,IF(D166="3-Buffet",G166*'[1]Controle Geral'!$M$14,IF(D166="5-Coffee Break",G166*'[1]Controle Geral'!$M$16,IF(D166="6-Refeições Simplificadas",G166*'[1]Controle Geral'!$M$17,IF(D166="10-Serviço de Bebida Especial",G166*'[1]Controle Geral'!$M$21,IF(D166="11-Serviço de Apoio Especial",G166*'[1]Controle Geral'!$M$22,IF(D166="12-Serviço de Apoio Vip",G166*'[1]Controle Geral'!$M$23,IF(D166="13-Brunch",G166*'[1]Controle Geral'!$M$24,"")))))))))))))</f>
        <v>560.70000000000005</v>
      </c>
      <c r="I166" s="73"/>
      <c r="J166" s="110">
        <v>46077</v>
      </c>
      <c r="K166" s="21" t="s">
        <v>157</v>
      </c>
      <c r="L166" s="123">
        <v>46078</v>
      </c>
      <c r="M166" s="123">
        <v>46078</v>
      </c>
      <c r="N166" s="123">
        <v>46087</v>
      </c>
      <c r="O166" s="123">
        <v>46090</v>
      </c>
      <c r="P166" s="77">
        <v>2585</v>
      </c>
      <c r="Q166" s="11"/>
      <c r="R166" s="104"/>
      <c r="S166" s="94"/>
    </row>
    <row r="167" spans="1:19" ht="27.75" x14ac:dyDescent="0.25">
      <c r="A167" s="21">
        <v>167</v>
      </c>
      <c r="B167" s="21">
        <v>61</v>
      </c>
      <c r="C167" s="24" t="str">
        <f t="shared" si="11"/>
        <v>7</v>
      </c>
      <c r="D167" s="34" t="s">
        <v>159</v>
      </c>
      <c r="E167" s="35" t="s">
        <v>318</v>
      </c>
      <c r="F167" s="29" t="str">
        <f t="shared" si="12"/>
        <v>27/02/2026</v>
      </c>
      <c r="G167" s="76">
        <v>18</v>
      </c>
      <c r="H167" s="67">
        <f>IF(D167="9-Serviço de Apoio",G167*'[1]Controle Geral'!$M$20,IF(D167="8-Café da Manhã",G167*'[1]Controle Geral'!$M$19,IF(D167="7-Lunch Box",G167*'[1]Controle Geral'!$M$18,IF(D167="4-Coquetel",G167*'[1]Controle Geral'!$M$15,IF(D167="1-Empratado especial",G167*'[1]Controle Geral'!$M$12,IF(D167="2-Empratado para almoço",G167*'[1]Controle Geral'!$M$13,IF(D167="3-Buffet",G167*'[1]Controle Geral'!$M$14,IF(D167="5-Coffee Break",G167*'[1]Controle Geral'!$M$16,IF(D167="6-Refeições Simplificadas",G167*'[1]Controle Geral'!$M$17,IF(D167="10-Serviço de Bebida Especial",G167*'[1]Controle Geral'!$M$21,IF(D167="11-Serviço de Apoio Especial",G167*'[1]Controle Geral'!$M$22,IF(D167="12-Serviço de Apoio Vip",G167*'[1]Controle Geral'!$M$23,IF(D167="13-Brunch",G167*'[1]Controle Geral'!$M$24,"")))))))))))))</f>
        <v>672.84</v>
      </c>
      <c r="I167" s="73"/>
      <c r="J167" s="110">
        <v>46077</v>
      </c>
      <c r="K167" s="21" t="s">
        <v>157</v>
      </c>
      <c r="L167" s="123">
        <v>46078</v>
      </c>
      <c r="M167" s="123">
        <v>46078</v>
      </c>
      <c r="N167" s="123">
        <v>46087</v>
      </c>
      <c r="O167" s="123">
        <v>46090</v>
      </c>
      <c r="P167" s="77">
        <v>2585</v>
      </c>
      <c r="Q167" s="11"/>
      <c r="R167" s="104"/>
      <c r="S167" s="94"/>
    </row>
    <row r="168" spans="1:19" ht="27.75" x14ac:dyDescent="0.25">
      <c r="A168" s="21">
        <v>168</v>
      </c>
      <c r="B168" s="21">
        <v>61</v>
      </c>
      <c r="C168" s="24" t="str">
        <f t="shared" si="11"/>
        <v>7</v>
      </c>
      <c r="D168" s="34" t="s">
        <v>159</v>
      </c>
      <c r="E168" s="35" t="s">
        <v>319</v>
      </c>
      <c r="F168" s="29" t="str">
        <f t="shared" si="12"/>
        <v>02/03/2026</v>
      </c>
      <c r="G168" s="76">
        <v>18</v>
      </c>
      <c r="H168" s="67">
        <f>IF(D168="9-Serviço de Apoio",G168*'[1]Controle Geral'!$M$20,IF(D168="8-Café da Manhã",G168*'[1]Controle Geral'!$M$19,IF(D168="7-Lunch Box",G168*'[1]Controle Geral'!$M$18,IF(D168="4-Coquetel",G168*'[1]Controle Geral'!$M$15,IF(D168="1-Empratado especial",G168*'[1]Controle Geral'!$M$12,IF(D168="2-Empratado para almoço",G168*'[1]Controle Geral'!$M$13,IF(D168="3-Buffet",G168*'[1]Controle Geral'!$M$14,IF(D168="5-Coffee Break",G168*'[1]Controle Geral'!$M$16,IF(D168="6-Refeições Simplificadas",G168*'[1]Controle Geral'!$M$17,IF(D168="10-Serviço de Bebida Especial",G168*'[1]Controle Geral'!$M$21,IF(D168="11-Serviço de Apoio Especial",G168*'[1]Controle Geral'!$M$22,IF(D168="12-Serviço de Apoio Vip",G168*'[1]Controle Geral'!$M$23,IF(D168="13-Brunch",G168*'[1]Controle Geral'!$M$24,"")))))))))))))</f>
        <v>672.84</v>
      </c>
      <c r="I168" s="73"/>
      <c r="J168" s="110">
        <v>46077</v>
      </c>
      <c r="K168" s="21" t="s">
        <v>157</v>
      </c>
      <c r="L168" s="123">
        <v>46078</v>
      </c>
      <c r="M168" s="123">
        <v>46078</v>
      </c>
      <c r="N168" s="123">
        <v>46087</v>
      </c>
      <c r="O168" s="123">
        <v>46090</v>
      </c>
      <c r="P168" s="77">
        <v>2585</v>
      </c>
      <c r="Q168" s="11"/>
      <c r="R168" s="104"/>
      <c r="S168" s="94"/>
    </row>
    <row r="169" spans="1:19" ht="27.75" x14ac:dyDescent="0.25">
      <c r="A169" s="21">
        <v>169</v>
      </c>
      <c r="B169" s="21">
        <v>61</v>
      </c>
      <c r="C169" s="24" t="str">
        <f t="shared" si="11"/>
        <v>7</v>
      </c>
      <c r="D169" s="34" t="s">
        <v>159</v>
      </c>
      <c r="E169" s="35" t="s">
        <v>320</v>
      </c>
      <c r="F169" s="29" t="str">
        <f t="shared" si="12"/>
        <v>03/03/2026</v>
      </c>
      <c r="G169" s="76">
        <v>18</v>
      </c>
      <c r="H169" s="67">
        <f>IF(D169="9-Serviço de Apoio",G169*'[1]Controle Geral'!$M$20,IF(D169="8-Café da Manhã",G169*'[1]Controle Geral'!$M$19,IF(D169="7-Lunch Box",G169*'[1]Controle Geral'!$M$18,IF(D169="4-Coquetel",G169*'[1]Controle Geral'!$M$15,IF(D169="1-Empratado especial",G169*'[1]Controle Geral'!$M$12,IF(D169="2-Empratado para almoço",G169*'[1]Controle Geral'!$M$13,IF(D169="3-Buffet",G169*'[1]Controle Geral'!$M$14,IF(D169="5-Coffee Break",G169*'[1]Controle Geral'!$M$16,IF(D169="6-Refeições Simplificadas",G169*'[1]Controle Geral'!$M$17,IF(D169="10-Serviço de Bebida Especial",G169*'[1]Controle Geral'!$M$21,IF(D169="11-Serviço de Apoio Especial",G169*'[1]Controle Geral'!$M$22,IF(D169="12-Serviço de Apoio Vip",G169*'[1]Controle Geral'!$M$23,IF(D169="13-Brunch",G169*'[1]Controle Geral'!$M$24,"")))))))))))))</f>
        <v>672.84</v>
      </c>
      <c r="I169" s="73"/>
      <c r="J169" s="110">
        <v>46077</v>
      </c>
      <c r="K169" s="21" t="s">
        <v>157</v>
      </c>
      <c r="L169" s="123">
        <v>46078</v>
      </c>
      <c r="M169" s="123">
        <v>46078</v>
      </c>
      <c r="N169" s="123">
        <v>46087</v>
      </c>
      <c r="O169" s="123">
        <v>46090</v>
      </c>
      <c r="P169" s="77">
        <v>2585</v>
      </c>
      <c r="Q169" s="11"/>
      <c r="R169" s="104"/>
      <c r="S169" s="94"/>
    </row>
    <row r="170" spans="1:19" ht="27.75" x14ac:dyDescent="0.25">
      <c r="A170" s="21">
        <v>170</v>
      </c>
      <c r="B170" s="21">
        <v>61</v>
      </c>
      <c r="C170" s="24" t="str">
        <f t="shared" si="11"/>
        <v>7</v>
      </c>
      <c r="D170" s="34" t="s">
        <v>159</v>
      </c>
      <c r="E170" s="35" t="s">
        <v>321</v>
      </c>
      <c r="F170" s="29" t="str">
        <f t="shared" si="12"/>
        <v>04/03/2026</v>
      </c>
      <c r="G170" s="76">
        <v>18</v>
      </c>
      <c r="H170" s="67">
        <f>IF(D170="9-Serviço de Apoio",G170*'[1]Controle Geral'!$M$20,IF(D170="8-Café da Manhã",G170*'[1]Controle Geral'!$M$19,IF(D170="7-Lunch Box",G170*'[1]Controle Geral'!$M$18,IF(D170="4-Coquetel",G170*'[1]Controle Geral'!$M$15,IF(D170="1-Empratado especial",G170*'[1]Controle Geral'!$M$12,IF(D170="2-Empratado para almoço",G170*'[1]Controle Geral'!$M$13,IF(D170="3-Buffet",G170*'[1]Controle Geral'!$M$14,IF(D170="5-Coffee Break",G170*'[1]Controle Geral'!$M$16,IF(D170="6-Refeições Simplificadas",G170*'[1]Controle Geral'!$M$17,IF(D170="10-Serviço de Bebida Especial",G170*'[1]Controle Geral'!$M$21,IF(D170="11-Serviço de Apoio Especial",G170*'[1]Controle Geral'!$M$22,IF(D170="12-Serviço de Apoio Vip",G170*'[1]Controle Geral'!$M$23,IF(D170="13-Brunch",G170*'[1]Controle Geral'!$M$24,"")))))))))))))</f>
        <v>672.84</v>
      </c>
      <c r="I170" s="73"/>
      <c r="J170" s="111">
        <v>46084</v>
      </c>
      <c r="K170" s="21" t="s">
        <v>157</v>
      </c>
      <c r="L170" s="123">
        <v>46084</v>
      </c>
      <c r="M170" s="123">
        <v>46084</v>
      </c>
      <c r="N170" s="123">
        <v>46087</v>
      </c>
      <c r="O170" s="123">
        <v>46090</v>
      </c>
      <c r="P170" s="77">
        <v>2585</v>
      </c>
      <c r="Q170" s="11"/>
      <c r="R170" s="104"/>
      <c r="S170" s="94"/>
    </row>
    <row r="171" spans="1:19" ht="90" x14ac:dyDescent="0.25">
      <c r="A171" s="21">
        <v>171</v>
      </c>
      <c r="B171" s="21">
        <v>62</v>
      </c>
      <c r="C171" s="24" t="str">
        <f t="shared" si="11"/>
        <v>11</v>
      </c>
      <c r="D171" s="40" t="s">
        <v>169</v>
      </c>
      <c r="E171" s="42" t="s">
        <v>321</v>
      </c>
      <c r="F171" s="29" t="str">
        <f t="shared" si="12"/>
        <v>04/03/2026</v>
      </c>
      <c r="G171" s="76">
        <v>50</v>
      </c>
      <c r="H171" s="68">
        <f>IF(D171="9-Serviço de Apoio",G171*'[1]Controle Geral'!$M$20,IF(D171="8-Café da Manhã",G171*'[1]Controle Geral'!$M$19,IF(D171="7-Lunch Box",G171*'[1]Controle Geral'!$M$18,IF(D171="4-Coquetel",G171*'[1]Controle Geral'!$M$15,IF(D171="1-Empratado especial",G171*'[1]Controle Geral'!$M$12,IF(D171="2-Empratado para almoço",G171*'[1]Controle Geral'!$M$13,IF(D171="3-Buffet",G171*'[1]Controle Geral'!$M$14,IF(D171="5-Coffee Break",G171*'[1]Controle Geral'!$M$16,IF(D171="6-Refeições Simplificadas",G171*'[1]Controle Geral'!$M$17,IF(D171="10-Serviço de Bebida Especial",G171*'[1]Controle Geral'!$M$21,IF(D171="11-Serviço de Apoio Especial",G171*'[1]Controle Geral'!$M$22,IF(D171="12-Serviço de Apoio Vip",G171*'[1]Controle Geral'!$M$23,IF(D171="13-Brunch",G171*'[1]Controle Geral'!$M$24,"")))))))))))))</f>
        <v>816</v>
      </c>
      <c r="I171" s="73"/>
      <c r="J171" s="111">
        <v>46084</v>
      </c>
      <c r="K171" s="21" t="s">
        <v>157</v>
      </c>
      <c r="L171" s="123">
        <v>46085</v>
      </c>
      <c r="M171" s="123">
        <v>46085</v>
      </c>
      <c r="N171" s="123">
        <v>46085</v>
      </c>
      <c r="O171" s="123">
        <v>46085</v>
      </c>
      <c r="P171" s="76">
        <v>2357</v>
      </c>
      <c r="Q171" s="108" t="s">
        <v>413</v>
      </c>
      <c r="R171" s="104" t="s">
        <v>158</v>
      </c>
      <c r="S171" s="94"/>
    </row>
    <row r="172" spans="1:19" ht="99.75" x14ac:dyDescent="0.25">
      <c r="A172" s="21">
        <v>172</v>
      </c>
      <c r="B172" s="21">
        <v>63</v>
      </c>
      <c r="C172" s="24" t="str">
        <f t="shared" si="11"/>
        <v>7</v>
      </c>
      <c r="D172" s="40" t="s">
        <v>159</v>
      </c>
      <c r="E172" s="42" t="s">
        <v>371</v>
      </c>
      <c r="F172" s="29" t="str">
        <f t="shared" si="12"/>
        <v>02/02/2026</v>
      </c>
      <c r="G172" s="79">
        <v>530</v>
      </c>
      <c r="H172" s="68">
        <f>IF(D172="9-Serviço de Apoio",G172*'[1]Controle Geral'!$M$20,IF(D172="8-Café da Manhã",G172*'[1]Controle Geral'!$M$19,IF(D172="7-Lunch Box",G172*'[1]Controle Geral'!$M$18,IF(D172="4-Coquetel",G172*'[1]Controle Geral'!$M$15,IF(D172="1-Empratado especial",G172*'[1]Controle Geral'!$M$12,IF(D172="2-Empratado para almoço",G172*'[1]Controle Geral'!$M$13,IF(D172="3-Buffet",G172*'[1]Controle Geral'!$M$14,IF(D172="5-Coffee Break",G172*'[1]Controle Geral'!$M$16,IF(D172="6-Refeições Simplificadas",G172*'[1]Controle Geral'!$M$17,IF(D172="10-Serviço de Bebida Especial",G172*'[1]Controle Geral'!$M$21,IF(D172="11-Serviço de Apoio Especial",G172*'[1]Controle Geral'!$M$22,IF(D172="12-Serviço de Apoio Vip",G172*'[1]Controle Geral'!$M$23,IF(D172="13-Brunch",G172*'[1]Controle Geral'!$M$24,"")))))))))))))</f>
        <v>19811.400000000001</v>
      </c>
      <c r="I172" s="73"/>
      <c r="J172" s="111">
        <v>46079</v>
      </c>
      <c r="K172" s="21" t="s">
        <v>157</v>
      </c>
      <c r="L172" s="123">
        <v>46049</v>
      </c>
      <c r="M172" s="123">
        <v>46049</v>
      </c>
      <c r="N172" s="123">
        <v>46058</v>
      </c>
      <c r="O172" s="123">
        <v>46059</v>
      </c>
      <c r="P172" s="76">
        <v>2288</v>
      </c>
      <c r="Q172" s="31" t="s">
        <v>236</v>
      </c>
      <c r="R172" s="44" t="s">
        <v>158</v>
      </c>
      <c r="S172" s="94"/>
    </row>
    <row r="173" spans="1:19" ht="29.25" x14ac:dyDescent="0.25">
      <c r="A173" s="21">
        <v>173</v>
      </c>
      <c r="B173" s="21">
        <v>64</v>
      </c>
      <c r="C173" s="24" t="str">
        <f t="shared" si="11"/>
        <v>5</v>
      </c>
      <c r="D173" s="40" t="s">
        <v>156</v>
      </c>
      <c r="E173" s="42" t="s">
        <v>430</v>
      </c>
      <c r="F173" s="29" t="str">
        <f t="shared" si="12"/>
        <v>01/03/2026</v>
      </c>
      <c r="G173" s="76">
        <v>35</v>
      </c>
      <c r="H173" s="68">
        <f>IF(D173="9-Serviço de Apoio",G173*'[1]Controle Geral'!$M$19,IF(D173="8-Café da Manhã",G173*'[1]Controle Geral'!$M$18,IF(D173="7-Lunch Box",G173*'[1]Controle Geral'!$M$17,IF(D173="4-Coquetel",G173*'[1]Controle Geral'!$M$14,IF(D173="1-Empratado especial",G173*'[1]Controle Geral'!$M$11,IF(D173="2-Empratado para almoço",G173*'[1]Controle Geral'!$M$12,IF(D173="3-Buffet",G173*'[1]Controle Geral'!$M$13,IF(D173="5-Coffee Break",G173*'[1]Controle Geral'!$M$15,IF(D173="6-Refeições Simplificadas",G173*'[1]Controle Geral'!$M$16,IF(D173="10-Serviço de Bebida Especial",G173*'[1]Controle Geral'!$M$20,IF(D173="11-Serviço de Apoio Especial",G173*'[1]Controle Geral'!$M$21,IF(D173="12-Serviço de Apoio Vip",G173*'[1]Controle Geral'!$M$22,IF(D173="13-Brunch",G173*'[1]Controle Geral'!$M$23,"")))))))))))))</f>
        <v>4625.25</v>
      </c>
      <c r="I173" s="73"/>
      <c r="J173" s="110">
        <v>46057</v>
      </c>
      <c r="K173" s="21" t="s">
        <v>173</v>
      </c>
      <c r="L173" s="123"/>
      <c r="M173" s="123"/>
      <c r="N173" s="123"/>
      <c r="O173" s="123"/>
      <c r="P173" s="76"/>
      <c r="Q173" s="11"/>
      <c r="R173" s="44"/>
      <c r="S173" s="94"/>
    </row>
    <row r="174" spans="1:19" ht="40.5" x14ac:dyDescent="0.25">
      <c r="A174" s="21">
        <v>174</v>
      </c>
      <c r="B174" s="21">
        <v>65</v>
      </c>
      <c r="C174" s="24" t="str">
        <f t="shared" si="11"/>
        <v>5</v>
      </c>
      <c r="D174" s="40" t="s">
        <v>156</v>
      </c>
      <c r="E174" s="42" t="s">
        <v>322</v>
      </c>
      <c r="F174" s="29" t="str">
        <f t="shared" si="12"/>
        <v>11/03/2026</v>
      </c>
      <c r="G174" s="76">
        <v>60</v>
      </c>
      <c r="H174" s="68">
        <f>IF(D174="9-Serviço de Apoio",G174*'[1]Controle Geral'!$M$19,IF(D174="8-Café da Manhã",G174*'[1]Controle Geral'!$M$18,IF(D174="7-Lunch Box",G174*'[1]Controle Geral'!$M$17,IF(D174="4-Coquetel",G174*'[1]Controle Geral'!$M$14,IF(D174="1-Empratado especial",G174*'[1]Controle Geral'!$M$11,IF(D174="2-Empratado para almoço",G174*'[1]Controle Geral'!$M$12,IF(D174="3-Buffet",G174*'[1]Controle Geral'!$M$13,IF(D174="5-Coffee Break",G174*'[1]Controle Geral'!$M$15,IF(D174="6-Refeições Simplificadas",G174*'[1]Controle Geral'!$M$16,IF(D174="10-Serviço de Bebida Especial",G174*'[1]Controle Geral'!$M$20,IF(D174="11-Serviço de Apoio Especial",G174*'[1]Controle Geral'!$M$21,IF(D174="12-Serviço de Apoio Vip",G174*'[1]Controle Geral'!$M$22,IF(D174="13-Brunch",G174*'[1]Controle Geral'!$M$23,"")))))))))))))</f>
        <v>7929</v>
      </c>
      <c r="I174" s="73" t="s">
        <v>386</v>
      </c>
      <c r="J174" s="111">
        <v>46077</v>
      </c>
      <c r="K174" s="21" t="s">
        <v>157</v>
      </c>
      <c r="L174" s="123">
        <v>46079</v>
      </c>
      <c r="M174" s="123">
        <v>46080</v>
      </c>
      <c r="N174" s="123"/>
      <c r="O174" s="123"/>
      <c r="P174" s="76"/>
      <c r="Q174" s="11"/>
      <c r="R174" s="44"/>
      <c r="S174" s="94"/>
    </row>
    <row r="175" spans="1:19" ht="55.5" x14ac:dyDescent="0.25">
      <c r="A175" s="21">
        <v>175</v>
      </c>
      <c r="B175" s="21">
        <v>66</v>
      </c>
      <c r="C175" s="24" t="str">
        <f t="shared" si="11"/>
        <v>8</v>
      </c>
      <c r="D175" s="40" t="s">
        <v>164</v>
      </c>
      <c r="E175" s="42" t="s">
        <v>372</v>
      </c>
      <c r="F175" s="29" t="str">
        <f t="shared" si="12"/>
        <v>10/03/2026</v>
      </c>
      <c r="G175" s="76">
        <v>20</v>
      </c>
      <c r="H175" s="68">
        <f>IF(D175="9-Serviço de Apoio",G175*'[1]Controle Geral'!$M$19,IF(D175="8-Café da Manhã",G175*'[1]Controle Geral'!$M$18,IF(D175="7-Lunch Box",G175*'[1]Controle Geral'!$M$17,IF(D175="4-Coquetel",G175*'[1]Controle Geral'!$M$14,IF(D175="1-Empratado especial",G175*'[1]Controle Geral'!$M$11,IF(D175="2-Empratado para almoço",G175*'[1]Controle Geral'!$M$12,IF(D175="3-Buffet",G175*'[1]Controle Geral'!$M$13,IF(D175="5-Coffee Break",G175*'[1]Controle Geral'!$M$15,IF(D175="6-Refeições Simplificadas",G175*'[1]Controle Geral'!$M$16,IF(D175="10-Serviço de Bebida Especial",G175*'[1]Controle Geral'!$M$20,IF(D175="11-Serviço de Apoio Especial",G175*'[1]Controle Geral'!$M$21,IF(D175="12-Serviço de Apoio Vip",G175*'[1]Controle Geral'!$M$22,IF(D175="13-Brunch",G175*'[1]Controle Geral'!$M$23,"")))))))))))))</f>
        <v>747.6</v>
      </c>
      <c r="I175" s="73" t="s">
        <v>402</v>
      </c>
      <c r="J175" s="111">
        <v>46084</v>
      </c>
      <c r="K175" s="21" t="s">
        <v>157</v>
      </c>
      <c r="L175" s="123">
        <v>46086</v>
      </c>
      <c r="M175" s="123">
        <v>46086</v>
      </c>
      <c r="N175" s="123"/>
      <c r="O175" s="123"/>
      <c r="P175" s="76"/>
      <c r="Q175" s="11"/>
      <c r="R175" s="44"/>
      <c r="S175" s="94"/>
    </row>
    <row r="176" spans="1:19" ht="43.5" x14ac:dyDescent="0.25">
      <c r="A176" s="21">
        <v>176</v>
      </c>
      <c r="B176" s="21">
        <v>67</v>
      </c>
      <c r="C176" s="24" t="str">
        <f t="shared" si="11"/>
        <v>5</v>
      </c>
      <c r="D176" s="40" t="s">
        <v>156</v>
      </c>
      <c r="E176" s="42" t="s">
        <v>323</v>
      </c>
      <c r="F176" s="29" t="str">
        <f t="shared" si="12"/>
        <v>27/03/2026</v>
      </c>
      <c r="G176" s="76">
        <v>27</v>
      </c>
      <c r="H176" s="68">
        <f>IF(D176="9-Serviço de Apoio",G176*'[1]Controle Geral'!$M$19,IF(D176="8-Café da Manhã",G176*'[1]Controle Geral'!$M$18,IF(D176="7-Lunch Box",G176*'[1]Controle Geral'!$M$17,IF(D176="4-Coquetel",G176*'[1]Controle Geral'!$M$14,IF(D176="1-Empratado especial",G176*'[1]Controle Geral'!$M$11,IF(D176="2-Empratado para almoço",G176*'[1]Controle Geral'!$M$12,IF(D176="3-Buffet",G176*'[1]Controle Geral'!$M$13,IF(D176="5-Coffee Break",G176*'[1]Controle Geral'!$M$15,IF(D176="6-Refeições Simplificadas",G176*'[1]Controle Geral'!$M$16,IF(D176="10-Serviço de Bebida Especial",G176*'[1]Controle Geral'!$M$20,IF(D176="11-Serviço de Apoio Especial",G176*'[1]Controle Geral'!$M$21,IF(D176="12-Serviço de Apoio Vip",G176*'[1]Controle Geral'!$M$22,IF(D176="13-Brunch",G176*'[1]Controle Geral'!$M$23,"")))))))))))))</f>
        <v>3568.05</v>
      </c>
      <c r="I176" s="73" t="s">
        <v>400</v>
      </c>
      <c r="J176" s="111">
        <v>46085</v>
      </c>
      <c r="K176" s="21" t="s">
        <v>157</v>
      </c>
      <c r="L176" s="123">
        <v>46090</v>
      </c>
      <c r="M176" s="123"/>
      <c r="N176" s="123"/>
      <c r="O176" s="123"/>
      <c r="P176" s="76"/>
      <c r="Q176" s="11"/>
      <c r="R176" s="21"/>
      <c r="S176" s="94"/>
    </row>
    <row r="177" spans="1:19" ht="15.75" x14ac:dyDescent="0.25">
      <c r="A177" s="21">
        <v>177</v>
      </c>
      <c r="B177" s="21">
        <v>68</v>
      </c>
      <c r="C177" s="24" t="str">
        <f t="shared" si="11"/>
        <v>5</v>
      </c>
      <c r="D177" s="40" t="s">
        <v>156</v>
      </c>
      <c r="E177" s="137">
        <v>46128</v>
      </c>
      <c r="F177" s="29" t="str">
        <f t="shared" si="12"/>
        <v>16/04/2026</v>
      </c>
      <c r="G177" s="141">
        <v>80</v>
      </c>
      <c r="H177" s="68">
        <v>3827.2</v>
      </c>
      <c r="I177" s="73" t="s">
        <v>383</v>
      </c>
      <c r="J177" s="111">
        <v>46091</v>
      </c>
      <c r="K177" s="21" t="s">
        <v>157</v>
      </c>
      <c r="L177" s="147">
        <v>46099</v>
      </c>
      <c r="M177" s="143">
        <v>46100</v>
      </c>
      <c r="N177" s="148">
        <v>46134</v>
      </c>
      <c r="O177" s="148">
        <v>46135</v>
      </c>
      <c r="P177" s="144">
        <v>2513</v>
      </c>
      <c r="Q177" s="11"/>
      <c r="R177" s="44" t="s">
        <v>158</v>
      </c>
      <c r="S177" s="94"/>
    </row>
    <row r="178" spans="1:19" ht="15" customHeight="1" x14ac:dyDescent="0.25">
      <c r="A178" s="21">
        <v>178</v>
      </c>
      <c r="B178" s="21">
        <v>69</v>
      </c>
      <c r="C178" s="24" t="str">
        <f t="shared" ref="C178:C189" si="15">LEFT(D178,FIND("-",D178)-1)</f>
        <v>7</v>
      </c>
      <c r="D178" s="40" t="s">
        <v>159</v>
      </c>
      <c r="E178" s="42">
        <v>46147</v>
      </c>
      <c r="F178" s="29" t="str">
        <f t="shared" si="12"/>
        <v>05/05/2026</v>
      </c>
      <c r="G178" s="141">
        <v>198</v>
      </c>
      <c r="H178" s="68">
        <v>7401.24</v>
      </c>
      <c r="I178" s="73" t="s">
        <v>401</v>
      </c>
      <c r="J178" s="111">
        <v>46106</v>
      </c>
      <c r="K178" s="21" t="s">
        <v>157</v>
      </c>
      <c r="L178" s="148">
        <v>46127</v>
      </c>
      <c r="M178" s="143">
        <v>46136</v>
      </c>
      <c r="N178" s="148">
        <v>46148</v>
      </c>
      <c r="O178" s="148">
        <v>46148</v>
      </c>
      <c r="P178" s="144">
        <v>2838</v>
      </c>
      <c r="Q178" s="11"/>
      <c r="R178" s="44" t="s">
        <v>158</v>
      </c>
      <c r="S178" s="94"/>
    </row>
    <row r="179" spans="1:19" ht="15" customHeight="1" x14ac:dyDescent="0.25">
      <c r="A179" s="21">
        <v>179</v>
      </c>
      <c r="B179" s="21">
        <v>69</v>
      </c>
      <c r="C179" s="24" t="str">
        <f t="shared" si="15"/>
        <v>2</v>
      </c>
      <c r="D179" s="40" t="s">
        <v>161</v>
      </c>
      <c r="E179" s="42">
        <v>46147</v>
      </c>
      <c r="F179" s="29" t="str">
        <f t="shared" si="12"/>
        <v>05/05/2026</v>
      </c>
      <c r="G179" s="141">
        <v>8</v>
      </c>
      <c r="H179" s="68">
        <v>679.44</v>
      </c>
      <c r="I179" s="73" t="s">
        <v>401</v>
      </c>
      <c r="J179" s="111">
        <v>46106</v>
      </c>
      <c r="K179" s="21" t="s">
        <v>170</v>
      </c>
      <c r="L179" s="148"/>
      <c r="M179" s="148"/>
      <c r="N179" s="148"/>
      <c r="O179" s="148"/>
      <c r="P179" s="142"/>
      <c r="Q179" s="11"/>
      <c r="R179" s="21"/>
      <c r="S179" s="94"/>
    </row>
    <row r="180" spans="1:19" ht="15.75" x14ac:dyDescent="0.25">
      <c r="A180" s="21">
        <v>180</v>
      </c>
      <c r="B180" s="21">
        <v>70</v>
      </c>
      <c r="C180" s="24" t="str">
        <f t="shared" si="15"/>
        <v>6</v>
      </c>
      <c r="D180" s="40" t="s">
        <v>160</v>
      </c>
      <c r="E180" s="138">
        <v>46148</v>
      </c>
      <c r="F180" s="29" t="str">
        <f t="shared" si="12"/>
        <v>06/05/2026</v>
      </c>
      <c r="G180" s="141">
        <v>15</v>
      </c>
      <c r="H180" s="68">
        <v>560.70000000000005</v>
      </c>
      <c r="I180" s="73" t="s">
        <v>377</v>
      </c>
      <c r="J180" s="111">
        <v>46140</v>
      </c>
      <c r="K180" s="21" t="s">
        <v>157</v>
      </c>
      <c r="L180" s="149">
        <v>46142</v>
      </c>
      <c r="M180" s="149">
        <v>46142</v>
      </c>
      <c r="N180" s="148">
        <v>46150</v>
      </c>
      <c r="O180" s="148">
        <v>46150</v>
      </c>
      <c r="P180" s="145">
        <v>2846</v>
      </c>
      <c r="Q180" s="11"/>
      <c r="R180" s="44" t="s">
        <v>158</v>
      </c>
      <c r="S180" s="94"/>
    </row>
    <row r="181" spans="1:19" ht="15.75" x14ac:dyDescent="0.25">
      <c r="A181" s="21">
        <v>181</v>
      </c>
      <c r="B181" s="21">
        <v>70</v>
      </c>
      <c r="C181" s="24" t="str">
        <f t="shared" si="15"/>
        <v>6</v>
      </c>
      <c r="D181" s="40" t="s">
        <v>160</v>
      </c>
      <c r="E181" s="138">
        <v>46148</v>
      </c>
      <c r="F181" s="29" t="str">
        <f t="shared" si="12"/>
        <v>06/05/2026</v>
      </c>
      <c r="G181" s="141">
        <v>15</v>
      </c>
      <c r="H181" s="68">
        <v>560.70000000000005</v>
      </c>
      <c r="I181" s="73" t="s">
        <v>377</v>
      </c>
      <c r="J181" s="111">
        <v>46140</v>
      </c>
      <c r="K181" s="21" t="s">
        <v>157</v>
      </c>
      <c r="L181" s="149">
        <v>46142</v>
      </c>
      <c r="M181" s="149">
        <v>46142</v>
      </c>
      <c r="N181" s="148">
        <v>46150</v>
      </c>
      <c r="O181" s="148">
        <v>46150</v>
      </c>
      <c r="P181" s="146">
        <v>2846</v>
      </c>
      <c r="Q181" s="11"/>
      <c r="R181" s="44" t="s">
        <v>158</v>
      </c>
      <c r="S181" s="94"/>
    </row>
    <row r="182" spans="1:19" ht="15.75" x14ac:dyDescent="0.25">
      <c r="A182" s="21">
        <v>182</v>
      </c>
      <c r="B182" s="21">
        <v>71</v>
      </c>
      <c r="C182" s="24" t="str">
        <f t="shared" si="15"/>
        <v>5</v>
      </c>
      <c r="D182" s="40" t="s">
        <v>156</v>
      </c>
      <c r="E182" s="137">
        <v>46149</v>
      </c>
      <c r="F182" s="29" t="str">
        <f t="shared" si="12"/>
        <v>07/05/2026</v>
      </c>
      <c r="G182" s="141">
        <v>38</v>
      </c>
      <c r="H182" s="68">
        <v>1817.92</v>
      </c>
      <c r="I182" s="73" t="s">
        <v>374</v>
      </c>
      <c r="J182" s="111">
        <v>46057</v>
      </c>
      <c r="K182" s="21" t="s">
        <v>157</v>
      </c>
      <c r="L182" s="148">
        <v>46121</v>
      </c>
      <c r="M182" s="148">
        <v>46127</v>
      </c>
      <c r="N182" s="148">
        <v>46155</v>
      </c>
      <c r="O182" s="148">
        <v>46155</v>
      </c>
      <c r="P182" s="144">
        <v>2862</v>
      </c>
      <c r="Q182" s="11"/>
      <c r="R182" s="44" t="s">
        <v>158</v>
      </c>
      <c r="S182" s="94"/>
    </row>
    <row r="183" spans="1:19" ht="15.75" x14ac:dyDescent="0.25">
      <c r="A183" s="21">
        <v>183</v>
      </c>
      <c r="B183" s="21">
        <v>72</v>
      </c>
      <c r="C183" s="24" t="str">
        <f t="shared" si="15"/>
        <v>5</v>
      </c>
      <c r="D183" s="40" t="s">
        <v>156</v>
      </c>
      <c r="E183" s="137">
        <v>46160</v>
      </c>
      <c r="F183" s="29" t="str">
        <f t="shared" si="12"/>
        <v>18/05/2026</v>
      </c>
      <c r="G183" s="141">
        <v>400</v>
      </c>
      <c r="H183" s="68">
        <v>19136</v>
      </c>
      <c r="I183" s="73" t="s">
        <v>380</v>
      </c>
      <c r="J183" s="111">
        <v>46107</v>
      </c>
      <c r="K183" s="21" t="s">
        <v>170</v>
      </c>
      <c r="L183" s="123"/>
      <c r="M183" s="123"/>
      <c r="N183" s="123"/>
      <c r="O183" s="123"/>
      <c r="P183" s="76"/>
      <c r="Q183" s="11"/>
      <c r="R183" s="21"/>
      <c r="S183" s="94"/>
    </row>
    <row r="184" spans="1:19" ht="15.75" x14ac:dyDescent="0.25">
      <c r="A184" s="21">
        <v>184</v>
      </c>
      <c r="B184" s="21">
        <v>72</v>
      </c>
      <c r="C184" s="24" t="str">
        <f t="shared" si="15"/>
        <v>5</v>
      </c>
      <c r="D184" s="40" t="s">
        <v>156</v>
      </c>
      <c r="E184" s="137">
        <v>46161</v>
      </c>
      <c r="F184" s="29" t="str">
        <f t="shared" si="12"/>
        <v>19/05/2026</v>
      </c>
      <c r="G184" s="141">
        <v>400</v>
      </c>
      <c r="H184" s="68">
        <v>19136</v>
      </c>
      <c r="I184" s="73" t="s">
        <v>380</v>
      </c>
      <c r="J184" s="111">
        <v>46107</v>
      </c>
      <c r="K184" s="21" t="s">
        <v>170</v>
      </c>
      <c r="L184" s="123"/>
      <c r="M184" s="123"/>
      <c r="N184" s="123"/>
      <c r="O184" s="123"/>
      <c r="P184" s="76"/>
      <c r="Q184" s="11"/>
      <c r="R184" s="21"/>
      <c r="S184" s="94"/>
    </row>
    <row r="185" spans="1:19" ht="15.75" x14ac:dyDescent="0.25">
      <c r="A185" s="21">
        <v>185</v>
      </c>
      <c r="B185" s="21">
        <v>72</v>
      </c>
      <c r="C185" s="24" t="str">
        <f t="shared" si="15"/>
        <v>6</v>
      </c>
      <c r="D185" s="40" t="s">
        <v>160</v>
      </c>
      <c r="E185" s="137">
        <v>46162</v>
      </c>
      <c r="F185" s="29" t="str">
        <f t="shared" si="12"/>
        <v>20/05/2026</v>
      </c>
      <c r="G185" s="141">
        <v>400</v>
      </c>
      <c r="H185" s="68">
        <v>14952</v>
      </c>
      <c r="I185" s="73" t="s">
        <v>380</v>
      </c>
      <c r="J185" s="111">
        <v>46107</v>
      </c>
      <c r="K185" s="21" t="s">
        <v>170</v>
      </c>
      <c r="L185" s="123"/>
      <c r="M185" s="123"/>
      <c r="N185" s="123"/>
      <c r="O185" s="123"/>
      <c r="P185" s="76"/>
      <c r="Q185" s="11"/>
      <c r="R185" s="21"/>
      <c r="S185" s="94"/>
    </row>
    <row r="186" spans="1:19" ht="15.75" x14ac:dyDescent="0.25">
      <c r="A186" s="21">
        <v>186</v>
      </c>
      <c r="B186" s="21">
        <v>72</v>
      </c>
      <c r="C186" s="24" t="str">
        <f t="shared" si="15"/>
        <v>6</v>
      </c>
      <c r="D186" s="40" t="s">
        <v>160</v>
      </c>
      <c r="E186" s="137">
        <v>46163</v>
      </c>
      <c r="F186" s="29" t="str">
        <f t="shared" si="12"/>
        <v>21/05/2026</v>
      </c>
      <c r="G186" s="141">
        <v>400</v>
      </c>
      <c r="H186" s="68">
        <v>14952</v>
      </c>
      <c r="I186" s="73" t="s">
        <v>380</v>
      </c>
      <c r="J186" s="111">
        <v>46107</v>
      </c>
      <c r="K186" s="21" t="s">
        <v>170</v>
      </c>
      <c r="L186" s="123"/>
      <c r="M186" s="123"/>
      <c r="N186" s="123"/>
      <c r="O186" s="123"/>
      <c r="P186" s="76"/>
      <c r="Q186" s="11"/>
      <c r="R186" s="21"/>
      <c r="S186" s="94"/>
    </row>
    <row r="187" spans="1:19" ht="15.75" x14ac:dyDescent="0.25">
      <c r="A187" s="21">
        <v>187</v>
      </c>
      <c r="B187" s="21">
        <v>73</v>
      </c>
      <c r="C187" s="24" t="str">
        <f t="shared" si="15"/>
        <v>4</v>
      </c>
      <c r="D187" s="40" t="s">
        <v>167</v>
      </c>
      <c r="E187" s="139">
        <v>46162</v>
      </c>
      <c r="F187" s="29" t="str">
        <f t="shared" si="12"/>
        <v>20/05/2026</v>
      </c>
      <c r="G187" s="141">
        <v>200</v>
      </c>
      <c r="H187" s="68">
        <v>26430</v>
      </c>
      <c r="I187" s="73" t="s">
        <v>376</v>
      </c>
      <c r="J187" s="111">
        <v>46146</v>
      </c>
      <c r="K187" s="21" t="s">
        <v>157</v>
      </c>
      <c r="L187" s="147">
        <v>46154</v>
      </c>
      <c r="M187" s="148">
        <v>46155</v>
      </c>
      <c r="N187" s="150">
        <v>46163</v>
      </c>
      <c r="O187" s="151">
        <v>46163</v>
      </c>
      <c r="P187" s="76"/>
      <c r="Q187" s="11"/>
      <c r="R187" s="21"/>
      <c r="S187" s="94"/>
    </row>
    <row r="188" spans="1:19" ht="15.75" x14ac:dyDescent="0.25">
      <c r="A188" s="21">
        <v>188</v>
      </c>
      <c r="B188" s="21">
        <v>75</v>
      </c>
      <c r="C188" s="24" t="str">
        <f t="shared" si="15"/>
        <v>8</v>
      </c>
      <c r="D188" s="40" t="s">
        <v>164</v>
      </c>
      <c r="E188" s="139">
        <v>46164</v>
      </c>
      <c r="F188" s="29" t="str">
        <f t="shared" si="12"/>
        <v>22/05/2026</v>
      </c>
      <c r="G188" s="141">
        <v>30</v>
      </c>
      <c r="H188" s="68">
        <v>2136.3000000000002</v>
      </c>
      <c r="I188" s="73" t="s">
        <v>442</v>
      </c>
      <c r="J188" s="111">
        <v>46157</v>
      </c>
      <c r="K188" s="21" t="s">
        <v>157</v>
      </c>
      <c r="L188" s="148">
        <v>46160</v>
      </c>
      <c r="M188" s="148">
        <v>46160</v>
      </c>
      <c r="N188" s="152"/>
      <c r="O188" s="152"/>
      <c r="P188" s="76"/>
      <c r="Q188" s="11"/>
      <c r="R188" s="21"/>
      <c r="S188" s="94"/>
    </row>
    <row r="189" spans="1:19" ht="15.75" x14ac:dyDescent="0.25">
      <c r="A189" s="21">
        <v>189</v>
      </c>
      <c r="B189" s="21">
        <v>76</v>
      </c>
      <c r="C189" s="24" t="str">
        <f t="shared" si="15"/>
        <v>8</v>
      </c>
      <c r="D189" s="40" t="s">
        <v>164</v>
      </c>
      <c r="E189" s="140">
        <v>46183</v>
      </c>
      <c r="F189" s="29" t="str">
        <f t="shared" si="12"/>
        <v>10/06/2026</v>
      </c>
      <c r="G189" s="141">
        <v>40</v>
      </c>
      <c r="H189" s="68">
        <v>2848.4</v>
      </c>
      <c r="I189" s="73" t="s">
        <v>376</v>
      </c>
      <c r="J189" s="111">
        <v>46163</v>
      </c>
      <c r="K189" s="21" t="s">
        <v>157</v>
      </c>
      <c r="L189" s="123"/>
      <c r="M189" s="123"/>
      <c r="N189" s="123"/>
      <c r="O189" s="123"/>
      <c r="P189" s="76"/>
      <c r="Q189" s="11"/>
      <c r="R189" s="21"/>
      <c r="S189" s="94"/>
    </row>
    <row r="190" spans="1:19" ht="15.75" x14ac:dyDescent="0.25">
      <c r="A190" s="21">
        <v>190</v>
      </c>
      <c r="B190" s="21">
        <v>76</v>
      </c>
      <c r="C190" s="24" t="str">
        <f t="shared" ref="C190:C191" si="16">LEFT(D190,FIND("-",D190)-1)</f>
        <v>5</v>
      </c>
      <c r="D190" s="40" t="s">
        <v>156</v>
      </c>
      <c r="E190" s="140">
        <v>46184</v>
      </c>
      <c r="F190" s="29" t="str">
        <f t="shared" si="12"/>
        <v>11/06/2026</v>
      </c>
      <c r="G190" s="141">
        <v>40</v>
      </c>
      <c r="H190" s="68">
        <v>1913.6</v>
      </c>
      <c r="I190" s="73" t="s">
        <v>443</v>
      </c>
      <c r="J190" s="111">
        <v>46163</v>
      </c>
      <c r="K190" s="21" t="s">
        <v>157</v>
      </c>
      <c r="L190" s="123"/>
      <c r="M190" s="123"/>
      <c r="N190" s="123"/>
      <c r="O190" s="123"/>
      <c r="P190" s="76"/>
      <c r="Q190" s="11"/>
      <c r="R190" s="21"/>
      <c r="S190" s="94"/>
    </row>
    <row r="191" spans="1:19" ht="15.75" x14ac:dyDescent="0.25">
      <c r="A191" s="21">
        <v>192</v>
      </c>
      <c r="B191" s="21">
        <v>76</v>
      </c>
      <c r="C191" s="24" t="str">
        <f t="shared" si="16"/>
        <v>5</v>
      </c>
      <c r="D191" s="40" t="s">
        <v>156</v>
      </c>
      <c r="E191" s="140">
        <v>46184</v>
      </c>
      <c r="F191" s="29" t="str">
        <f t="shared" si="12"/>
        <v>11/06/2026</v>
      </c>
      <c r="G191" s="141">
        <v>40</v>
      </c>
      <c r="H191" s="68">
        <v>1913.6</v>
      </c>
      <c r="I191" s="73" t="s">
        <v>443</v>
      </c>
      <c r="J191" s="111">
        <v>46163</v>
      </c>
      <c r="K191" s="21" t="s">
        <v>157</v>
      </c>
      <c r="L191" s="123"/>
      <c r="M191" s="123"/>
      <c r="N191" s="123"/>
      <c r="O191" s="123"/>
      <c r="P191" s="76"/>
      <c r="Q191" s="11"/>
      <c r="R191" s="21"/>
      <c r="S191" s="94"/>
    </row>
    <row r="192" spans="1:19" ht="15.75" x14ac:dyDescent="0.25">
      <c r="A192" s="21">
        <v>193</v>
      </c>
      <c r="B192" s="21">
        <v>76</v>
      </c>
      <c r="C192" s="24" t="str">
        <f t="shared" ref="C192:C195" si="17">LEFT(D192,FIND("-",D192)-1)</f>
        <v>5</v>
      </c>
      <c r="D192" s="40" t="s">
        <v>156</v>
      </c>
      <c r="E192" s="140">
        <v>46185</v>
      </c>
      <c r="F192" s="29" t="str">
        <f t="shared" si="12"/>
        <v>12/06/2026</v>
      </c>
      <c r="G192" s="141">
        <v>40</v>
      </c>
      <c r="H192" s="68">
        <v>1913.6</v>
      </c>
      <c r="I192" s="73" t="s">
        <v>443</v>
      </c>
      <c r="J192" s="111">
        <v>46163</v>
      </c>
      <c r="K192" s="21" t="s">
        <v>157</v>
      </c>
      <c r="L192" s="123"/>
      <c r="M192" s="123"/>
      <c r="N192" s="123"/>
      <c r="O192" s="123"/>
      <c r="P192" s="76"/>
      <c r="Q192" s="11"/>
      <c r="R192" s="21"/>
      <c r="S192" s="94"/>
    </row>
    <row r="193" spans="1:19" ht="15.75" x14ac:dyDescent="0.25">
      <c r="A193" s="21">
        <v>194</v>
      </c>
      <c r="B193" s="21">
        <v>76</v>
      </c>
      <c r="C193" s="24" t="str">
        <f t="shared" si="17"/>
        <v>1</v>
      </c>
      <c r="D193" s="40" t="s">
        <v>172</v>
      </c>
      <c r="E193" s="140">
        <v>46184</v>
      </c>
      <c r="F193" s="29" t="str">
        <f t="shared" si="12"/>
        <v>11/06/2026</v>
      </c>
      <c r="G193" s="141">
        <v>40</v>
      </c>
      <c r="H193" s="68">
        <v>4009.2</v>
      </c>
      <c r="I193" s="73" t="s">
        <v>374</v>
      </c>
      <c r="J193" s="111">
        <v>46163</v>
      </c>
      <c r="K193" s="21" t="s">
        <v>157</v>
      </c>
      <c r="L193" s="123"/>
      <c r="M193" s="123"/>
      <c r="N193" s="123"/>
      <c r="O193" s="123"/>
      <c r="P193" s="76"/>
      <c r="Q193" s="11"/>
      <c r="R193" s="21"/>
      <c r="S193" s="94"/>
    </row>
    <row r="194" spans="1:19" ht="15.75" x14ac:dyDescent="0.25">
      <c r="A194" s="21">
        <v>195</v>
      </c>
      <c r="B194" s="21">
        <v>76</v>
      </c>
      <c r="C194" s="24" t="str">
        <f t="shared" si="17"/>
        <v>1</v>
      </c>
      <c r="D194" s="40" t="s">
        <v>172</v>
      </c>
      <c r="E194" s="140">
        <v>46185</v>
      </c>
      <c r="F194" s="29" t="str">
        <f t="shared" si="12"/>
        <v>12/06/2026</v>
      </c>
      <c r="G194" s="141">
        <v>40</v>
      </c>
      <c r="H194" s="68">
        <v>4009.2</v>
      </c>
      <c r="I194" s="73" t="s">
        <v>374</v>
      </c>
      <c r="J194" s="111">
        <v>46163</v>
      </c>
      <c r="K194" s="21" t="s">
        <v>157</v>
      </c>
      <c r="L194" s="123"/>
      <c r="M194" s="123"/>
      <c r="N194" s="123"/>
      <c r="O194" s="123"/>
      <c r="P194" s="76"/>
      <c r="Q194" s="11"/>
      <c r="R194" s="21"/>
      <c r="S194" s="94"/>
    </row>
    <row r="195" spans="1:19" ht="15.75" x14ac:dyDescent="0.25">
      <c r="A195" s="21">
        <v>196</v>
      </c>
      <c r="B195" s="21">
        <v>76</v>
      </c>
      <c r="C195" s="24" t="str">
        <f t="shared" si="17"/>
        <v>1</v>
      </c>
      <c r="D195" s="40" t="s">
        <v>172</v>
      </c>
      <c r="E195" s="140">
        <v>46184</v>
      </c>
      <c r="F195" s="29" t="str">
        <f t="shared" si="12"/>
        <v>11/06/2026</v>
      </c>
      <c r="G195" s="141">
        <v>40</v>
      </c>
      <c r="H195" s="68">
        <v>4009.2</v>
      </c>
      <c r="I195" s="73" t="s">
        <v>444</v>
      </c>
      <c r="J195" s="111">
        <v>46163</v>
      </c>
      <c r="K195" s="21" t="s">
        <v>157</v>
      </c>
      <c r="L195" s="123"/>
      <c r="M195" s="123"/>
      <c r="N195" s="123"/>
      <c r="O195" s="123"/>
      <c r="P195" s="76"/>
      <c r="Q195" s="11"/>
      <c r="R195" s="21"/>
      <c r="S195" s="94"/>
    </row>
    <row r="196" spans="1:19" ht="15.75" x14ac:dyDescent="0.25">
      <c r="A196" s="21">
        <v>197</v>
      </c>
      <c r="B196" s="21">
        <v>77</v>
      </c>
      <c r="C196" s="24" t="str">
        <f t="shared" ref="C196" si="18">LEFT(D196,FIND("-",D196)-1)</f>
        <v>5</v>
      </c>
      <c r="D196" s="40" t="s">
        <v>156</v>
      </c>
      <c r="E196" s="139">
        <v>46184</v>
      </c>
      <c r="F196" s="29" t="str">
        <f t="shared" si="12"/>
        <v>11/06/2026</v>
      </c>
      <c r="G196" s="141">
        <v>10</v>
      </c>
      <c r="H196" s="68">
        <v>1674.4</v>
      </c>
      <c r="I196" s="73" t="s">
        <v>393</v>
      </c>
      <c r="J196" s="111">
        <v>46174</v>
      </c>
      <c r="K196" s="21" t="s">
        <v>157</v>
      </c>
      <c r="L196" s="123"/>
      <c r="M196" s="123"/>
      <c r="N196" s="123"/>
      <c r="O196" s="123"/>
      <c r="P196" s="76"/>
      <c r="Q196" s="11"/>
      <c r="R196" s="21"/>
      <c r="S196" s="94"/>
    </row>
    <row r="197" spans="1:19" ht="15.75" x14ac:dyDescent="0.25">
      <c r="A197" s="21">
        <v>198</v>
      </c>
      <c r="B197" s="21">
        <v>77</v>
      </c>
      <c r="C197" s="24" t="str">
        <f t="shared" ref="C197:C225" si="19">LEFT(D197,FIND("-",D197)-1)</f>
        <v>5</v>
      </c>
      <c r="D197" s="40" t="s">
        <v>156</v>
      </c>
      <c r="E197" s="139">
        <v>46188</v>
      </c>
      <c r="F197" s="29" t="str">
        <f t="shared" ref="F197:F225" si="20">TEXT(LEFT(E197,10),"DD/MM/AAAA")</f>
        <v>15/06/2026</v>
      </c>
      <c r="G197" s="141">
        <v>14</v>
      </c>
      <c r="H197" s="68">
        <v>1674.4</v>
      </c>
      <c r="I197" s="73" t="s">
        <v>393</v>
      </c>
      <c r="J197" s="111">
        <v>46174</v>
      </c>
      <c r="K197" s="21" t="s">
        <v>157</v>
      </c>
      <c r="L197" s="123"/>
      <c r="M197" s="123"/>
      <c r="N197" s="123"/>
      <c r="O197" s="123"/>
      <c r="P197" s="76"/>
      <c r="Q197" s="11"/>
      <c r="R197" s="21"/>
      <c r="S197" s="94"/>
    </row>
    <row r="198" spans="1:19" ht="15.75" x14ac:dyDescent="0.25">
      <c r="A198" s="21">
        <v>199</v>
      </c>
      <c r="B198" s="21">
        <v>78</v>
      </c>
      <c r="C198" s="21" t="str">
        <f t="shared" si="19"/>
        <v>5</v>
      </c>
      <c r="D198" s="163" t="s">
        <v>156</v>
      </c>
      <c r="E198" s="139">
        <v>46185</v>
      </c>
      <c r="F198" s="35" t="str">
        <f t="shared" si="20"/>
        <v>12/06/2026</v>
      </c>
      <c r="G198" s="141">
        <v>10</v>
      </c>
      <c r="H198" s="164">
        <v>1435.2</v>
      </c>
      <c r="I198" s="73" t="s">
        <v>379</v>
      </c>
      <c r="J198" s="123">
        <v>46175</v>
      </c>
      <c r="K198" s="21" t="s">
        <v>157</v>
      </c>
      <c r="L198" s="123">
        <v>46181</v>
      </c>
      <c r="M198" s="123">
        <v>46181</v>
      </c>
      <c r="N198" s="123">
        <v>46188</v>
      </c>
      <c r="O198" s="123">
        <v>46188</v>
      </c>
      <c r="P198" s="76">
        <v>2647</v>
      </c>
      <c r="Q198" s="11"/>
      <c r="R198" s="21" t="s">
        <v>451</v>
      </c>
      <c r="S198" s="94"/>
    </row>
    <row r="199" spans="1:19" ht="15.75" x14ac:dyDescent="0.25">
      <c r="A199" s="21">
        <v>200</v>
      </c>
      <c r="B199" s="21">
        <v>79</v>
      </c>
      <c r="C199" s="21" t="str">
        <f t="shared" si="19"/>
        <v>5</v>
      </c>
      <c r="D199" s="163" t="s">
        <v>156</v>
      </c>
      <c r="E199" s="139">
        <v>46198</v>
      </c>
      <c r="F199" s="35" t="str">
        <f t="shared" si="20"/>
        <v>25/06/2026</v>
      </c>
      <c r="G199" s="141">
        <v>10</v>
      </c>
      <c r="H199" s="164">
        <v>1435.2</v>
      </c>
      <c r="I199" s="73" t="s">
        <v>377</v>
      </c>
      <c r="J199" s="123">
        <v>46188</v>
      </c>
      <c r="K199" s="21" t="s">
        <v>157</v>
      </c>
      <c r="L199" s="123"/>
      <c r="M199" s="123"/>
      <c r="N199" s="123"/>
      <c r="O199" s="123"/>
      <c r="P199" s="76"/>
      <c r="Q199" s="11"/>
      <c r="R199" s="21"/>
      <c r="S199" s="94"/>
    </row>
    <row r="200" spans="1:19" ht="15.75" x14ac:dyDescent="0.25">
      <c r="A200" s="21">
        <v>201</v>
      </c>
      <c r="B200" s="21">
        <v>80</v>
      </c>
      <c r="C200" s="21" t="str">
        <f t="shared" si="19"/>
        <v>4</v>
      </c>
      <c r="D200" s="163" t="s">
        <v>167</v>
      </c>
      <c r="E200" s="139">
        <v>46204</v>
      </c>
      <c r="F200" s="35" t="str">
        <f t="shared" si="20"/>
        <v>01/07/2026</v>
      </c>
      <c r="G200" s="141">
        <v>41</v>
      </c>
      <c r="H200" s="164">
        <v>10572</v>
      </c>
      <c r="I200" s="73" t="s">
        <v>386</v>
      </c>
      <c r="J200" s="123">
        <v>46163</v>
      </c>
      <c r="K200" s="21" t="s">
        <v>157</v>
      </c>
      <c r="L200" s="123"/>
      <c r="M200" s="123"/>
      <c r="N200" s="123"/>
      <c r="O200" s="123"/>
      <c r="P200" s="76"/>
      <c r="Q200" s="11"/>
      <c r="R200" s="21"/>
      <c r="S200" s="94"/>
    </row>
    <row r="201" spans="1:19" ht="64.5" customHeight="1" x14ac:dyDescent="0.25">
      <c r="A201" s="21">
        <v>202</v>
      </c>
      <c r="B201" s="21">
        <v>81</v>
      </c>
      <c r="C201" s="21" t="str">
        <f t="shared" si="19"/>
        <v>7</v>
      </c>
      <c r="D201" s="27" t="s">
        <v>159</v>
      </c>
      <c r="E201" s="139">
        <v>46195</v>
      </c>
      <c r="F201" s="35" t="str">
        <f t="shared" si="20"/>
        <v>22/06/2026</v>
      </c>
      <c r="G201" s="141">
        <v>80</v>
      </c>
      <c r="H201" s="164">
        <v>2990.4</v>
      </c>
      <c r="I201" s="73" t="s">
        <v>391</v>
      </c>
      <c r="J201" s="123">
        <v>46191</v>
      </c>
      <c r="K201" s="21" t="s">
        <v>157</v>
      </c>
      <c r="L201" s="21"/>
      <c r="M201" s="21"/>
      <c r="N201" s="21"/>
      <c r="O201" s="21"/>
      <c r="P201" s="21"/>
      <c r="Q201" s="21"/>
      <c r="R201" s="21"/>
      <c r="S201" s="21"/>
    </row>
    <row r="202" spans="1:19" ht="15.75" x14ac:dyDescent="0.25">
      <c r="A202" s="21">
        <v>203</v>
      </c>
      <c r="B202" s="21">
        <v>82</v>
      </c>
      <c r="C202" s="21" t="str">
        <f t="shared" si="19"/>
        <v>7</v>
      </c>
      <c r="D202" s="27" t="s">
        <v>159</v>
      </c>
      <c r="E202" s="139">
        <v>46198</v>
      </c>
      <c r="F202" s="35" t="str">
        <f t="shared" si="20"/>
        <v>25/06/2026</v>
      </c>
      <c r="G202" s="141">
        <v>100</v>
      </c>
      <c r="H202" s="164">
        <v>3738</v>
      </c>
      <c r="I202" s="73" t="s">
        <v>391</v>
      </c>
      <c r="J202" s="123">
        <v>46195</v>
      </c>
      <c r="K202" s="21" t="s">
        <v>157</v>
      </c>
      <c r="L202" s="21"/>
      <c r="M202" s="21"/>
      <c r="N202" s="21"/>
      <c r="O202" s="21"/>
      <c r="P202" s="21"/>
      <c r="Q202" s="21"/>
      <c r="R202" s="21"/>
      <c r="S202" s="21"/>
    </row>
    <row r="203" spans="1:19" ht="15.75" x14ac:dyDescent="0.25">
      <c r="A203" s="21">
        <v>204</v>
      </c>
      <c r="B203" s="21">
        <v>83</v>
      </c>
      <c r="C203" s="21" t="str">
        <f t="shared" si="19"/>
        <v>5</v>
      </c>
      <c r="D203" s="27" t="s">
        <v>156</v>
      </c>
      <c r="E203" s="139">
        <v>46203</v>
      </c>
      <c r="F203" s="35" t="str">
        <f t="shared" si="20"/>
        <v>30/06/2026</v>
      </c>
      <c r="G203" s="141">
        <v>40</v>
      </c>
      <c r="H203" s="164">
        <v>1913.6</v>
      </c>
      <c r="I203" s="73" t="s">
        <v>472</v>
      </c>
      <c r="J203" s="123">
        <v>46199</v>
      </c>
      <c r="K203" s="21" t="s">
        <v>157</v>
      </c>
      <c r="L203" s="21"/>
      <c r="M203" s="21"/>
      <c r="N203" s="21"/>
      <c r="O203" s="21"/>
      <c r="P203" s="21"/>
      <c r="Q203" s="21"/>
      <c r="R203" s="21"/>
      <c r="S203" s="21"/>
    </row>
    <row r="204" spans="1:19" ht="15.75" x14ac:dyDescent="0.25">
      <c r="A204" s="21">
        <v>205</v>
      </c>
      <c r="B204" s="21">
        <v>83</v>
      </c>
      <c r="C204" s="21" t="str">
        <f t="shared" si="19"/>
        <v>5</v>
      </c>
      <c r="D204" s="27" t="s">
        <v>156</v>
      </c>
      <c r="E204" s="139">
        <v>46203</v>
      </c>
      <c r="F204" s="35" t="str">
        <f t="shared" si="20"/>
        <v>30/06/2026</v>
      </c>
      <c r="G204" s="141">
        <v>40</v>
      </c>
      <c r="H204" s="164">
        <v>1913.6</v>
      </c>
      <c r="I204" s="73" t="s">
        <v>472</v>
      </c>
      <c r="J204" s="123">
        <v>46199</v>
      </c>
      <c r="K204" s="21" t="s">
        <v>157</v>
      </c>
      <c r="L204" s="21"/>
      <c r="M204" s="21"/>
      <c r="N204" s="21"/>
      <c r="O204" s="21"/>
      <c r="P204" s="21"/>
      <c r="Q204" s="21"/>
      <c r="R204" s="21"/>
      <c r="S204" s="21"/>
    </row>
    <row r="205" spans="1:19" ht="15.75" x14ac:dyDescent="0.25">
      <c r="A205" s="21">
        <v>206</v>
      </c>
      <c r="B205" s="21">
        <v>84</v>
      </c>
      <c r="C205" s="21" t="str">
        <f t="shared" si="19"/>
        <v>7</v>
      </c>
      <c r="D205" s="27" t="s">
        <v>159</v>
      </c>
      <c r="E205" s="139">
        <v>46204</v>
      </c>
      <c r="F205" s="35" t="str">
        <f t="shared" si="20"/>
        <v>01/07/2026</v>
      </c>
      <c r="G205" s="141">
        <v>120</v>
      </c>
      <c r="H205" s="164">
        <v>4485.6000000000004</v>
      </c>
      <c r="I205" s="73" t="s">
        <v>379</v>
      </c>
      <c r="J205" s="123">
        <v>46199</v>
      </c>
      <c r="K205" s="21" t="s">
        <v>157</v>
      </c>
      <c r="L205" s="21"/>
      <c r="M205" s="21"/>
      <c r="N205" s="21"/>
      <c r="O205" s="21"/>
      <c r="P205" s="21"/>
      <c r="Q205" s="21"/>
      <c r="R205" s="21"/>
      <c r="S205" s="21"/>
    </row>
    <row r="206" spans="1:19" ht="15.75" x14ac:dyDescent="0.25">
      <c r="A206" s="21">
        <v>207</v>
      </c>
      <c r="B206" s="21">
        <v>84</v>
      </c>
      <c r="C206" s="21" t="str">
        <f t="shared" si="19"/>
        <v>7</v>
      </c>
      <c r="D206" s="27" t="s">
        <v>159</v>
      </c>
      <c r="E206" s="139">
        <v>46205</v>
      </c>
      <c r="F206" s="35" t="str">
        <f t="shared" si="20"/>
        <v>02/07/2026</v>
      </c>
      <c r="G206" s="141">
        <v>120</v>
      </c>
      <c r="H206" s="164">
        <v>4485.6000000000004</v>
      </c>
      <c r="I206" s="73" t="s">
        <v>379</v>
      </c>
      <c r="J206" s="123">
        <v>46199</v>
      </c>
      <c r="K206" s="21" t="s">
        <v>157</v>
      </c>
      <c r="L206" s="21"/>
      <c r="M206" s="21"/>
      <c r="N206" s="21"/>
      <c r="O206" s="21"/>
      <c r="P206" s="21"/>
      <c r="Q206" s="21"/>
      <c r="R206" s="21"/>
      <c r="S206" s="21"/>
    </row>
    <row r="207" spans="1:19" ht="15.75" x14ac:dyDescent="0.25">
      <c r="A207" s="21">
        <v>208</v>
      </c>
      <c r="B207" s="21">
        <v>84</v>
      </c>
      <c r="C207" s="21" t="str">
        <f t="shared" si="19"/>
        <v>2</v>
      </c>
      <c r="D207" s="27" t="s">
        <v>161</v>
      </c>
      <c r="E207" s="139">
        <v>46204</v>
      </c>
      <c r="F207" s="35" t="str">
        <f t="shared" si="20"/>
        <v>01/07/2026</v>
      </c>
      <c r="G207" s="141">
        <v>6</v>
      </c>
      <c r="H207" s="164">
        <v>509.58</v>
      </c>
      <c r="I207" s="73" t="s">
        <v>374</v>
      </c>
      <c r="J207" s="123">
        <v>46199</v>
      </c>
      <c r="K207" s="21" t="s">
        <v>157</v>
      </c>
      <c r="L207" s="21"/>
      <c r="M207" s="21"/>
      <c r="N207" s="21"/>
      <c r="O207" s="21"/>
      <c r="P207" s="21"/>
      <c r="Q207" s="21"/>
      <c r="R207" s="21"/>
      <c r="S207" s="21"/>
    </row>
    <row r="208" spans="1:19" ht="15.75" x14ac:dyDescent="0.25">
      <c r="A208" s="21">
        <v>209</v>
      </c>
      <c r="B208" s="21">
        <v>84</v>
      </c>
      <c r="C208" s="21" t="str">
        <f t="shared" si="19"/>
        <v>2</v>
      </c>
      <c r="D208" s="27" t="s">
        <v>161</v>
      </c>
      <c r="E208" s="139">
        <v>46205</v>
      </c>
      <c r="F208" s="35" t="str">
        <f t="shared" si="20"/>
        <v>02/07/2026</v>
      </c>
      <c r="G208" s="141">
        <v>6</v>
      </c>
      <c r="H208" s="164">
        <v>509.58</v>
      </c>
      <c r="I208" s="73" t="s">
        <v>374</v>
      </c>
      <c r="J208" s="123">
        <v>46199</v>
      </c>
      <c r="K208" s="21" t="s">
        <v>157</v>
      </c>
      <c r="L208" s="21"/>
      <c r="M208" s="21"/>
      <c r="N208" s="21"/>
      <c r="O208" s="21"/>
      <c r="P208" s="21"/>
      <c r="Q208" s="21"/>
      <c r="R208" s="21"/>
      <c r="S208" s="21"/>
    </row>
    <row r="209" spans="1:19" ht="15.75" x14ac:dyDescent="0.25">
      <c r="A209" s="21">
        <v>210</v>
      </c>
      <c r="B209" s="21">
        <v>85</v>
      </c>
      <c r="C209" s="21" t="str">
        <f t="shared" si="19"/>
        <v>5</v>
      </c>
      <c r="D209" s="27" t="s">
        <v>156</v>
      </c>
      <c r="E209" s="139">
        <v>46204</v>
      </c>
      <c r="F209" s="35" t="str">
        <f t="shared" si="20"/>
        <v>01/07/2026</v>
      </c>
      <c r="G209" s="141">
        <v>74</v>
      </c>
      <c r="H209" s="164">
        <v>3540.16</v>
      </c>
      <c r="I209" s="73" t="s">
        <v>374</v>
      </c>
      <c r="J209" s="123">
        <v>46192</v>
      </c>
      <c r="K209" s="21" t="s">
        <v>157</v>
      </c>
      <c r="L209" s="21"/>
      <c r="M209" s="21"/>
      <c r="N209" s="21"/>
      <c r="O209" s="21"/>
      <c r="P209" s="21"/>
      <c r="Q209" s="21"/>
      <c r="R209" s="21"/>
      <c r="S209" s="21"/>
    </row>
    <row r="210" spans="1:19" ht="15.75" x14ac:dyDescent="0.25">
      <c r="A210" s="21">
        <v>211</v>
      </c>
      <c r="B210" s="21">
        <v>85</v>
      </c>
      <c r="C210" s="21" t="str">
        <f t="shared" si="19"/>
        <v>6</v>
      </c>
      <c r="D210" s="27" t="s">
        <v>160</v>
      </c>
      <c r="E210" s="139">
        <v>46204</v>
      </c>
      <c r="F210" s="35" t="str">
        <f t="shared" si="20"/>
        <v>01/07/2026</v>
      </c>
      <c r="G210" s="141">
        <v>80</v>
      </c>
      <c r="H210" s="164">
        <v>2990.4</v>
      </c>
      <c r="I210" s="73" t="s">
        <v>472</v>
      </c>
      <c r="J210" s="123">
        <v>46192</v>
      </c>
      <c r="K210" s="21" t="s">
        <v>157</v>
      </c>
      <c r="L210" s="21"/>
      <c r="M210" s="21"/>
      <c r="N210" s="21"/>
      <c r="O210" s="21"/>
      <c r="P210" s="21"/>
      <c r="Q210" s="21"/>
      <c r="R210" s="21"/>
      <c r="S210" s="21"/>
    </row>
    <row r="211" spans="1:19" ht="15.75" x14ac:dyDescent="0.25">
      <c r="A211" s="21">
        <v>212</v>
      </c>
      <c r="B211" s="21">
        <v>85</v>
      </c>
      <c r="C211" s="21" t="str">
        <f t="shared" si="19"/>
        <v>6</v>
      </c>
      <c r="D211" s="27" t="s">
        <v>160</v>
      </c>
      <c r="E211" s="139">
        <v>46205</v>
      </c>
      <c r="F211" s="35" t="str">
        <f t="shared" si="20"/>
        <v>02/07/2026</v>
      </c>
      <c r="G211" s="141">
        <v>80</v>
      </c>
      <c r="H211" s="164">
        <v>2990.4</v>
      </c>
      <c r="I211" s="73" t="s">
        <v>472</v>
      </c>
      <c r="J211" s="123">
        <v>46192</v>
      </c>
      <c r="K211" s="21" t="s">
        <v>157</v>
      </c>
      <c r="L211" s="21"/>
      <c r="M211" s="21"/>
      <c r="N211" s="21"/>
      <c r="O211" s="21"/>
      <c r="P211" s="21"/>
      <c r="Q211" s="21"/>
      <c r="R211" s="21"/>
      <c r="S211" s="21"/>
    </row>
    <row r="212" spans="1:19" ht="15.75" x14ac:dyDescent="0.25">
      <c r="A212" s="21">
        <v>213</v>
      </c>
      <c r="B212" s="21">
        <v>85</v>
      </c>
      <c r="C212" s="21" t="str">
        <f t="shared" si="19"/>
        <v>6</v>
      </c>
      <c r="D212" s="27" t="s">
        <v>160</v>
      </c>
      <c r="E212" s="139">
        <v>46205</v>
      </c>
      <c r="F212" s="35" t="str">
        <f t="shared" si="20"/>
        <v>02/07/2026</v>
      </c>
      <c r="G212" s="141">
        <v>80</v>
      </c>
      <c r="H212" s="164">
        <v>2990.4</v>
      </c>
      <c r="I212" s="73" t="s">
        <v>472</v>
      </c>
      <c r="J212" s="123">
        <v>46192</v>
      </c>
      <c r="K212" s="21" t="s">
        <v>157</v>
      </c>
      <c r="L212" s="21"/>
      <c r="M212" s="21"/>
      <c r="N212" s="21"/>
      <c r="O212" s="21"/>
      <c r="P212" s="21"/>
      <c r="Q212" s="21"/>
      <c r="R212" s="21"/>
      <c r="S212" s="21"/>
    </row>
    <row r="213" spans="1:19" ht="15.75" x14ac:dyDescent="0.25">
      <c r="A213" s="21">
        <v>214</v>
      </c>
      <c r="B213" s="21">
        <v>85</v>
      </c>
      <c r="C213" s="21" t="str">
        <f t="shared" si="19"/>
        <v>6</v>
      </c>
      <c r="D213" s="27" t="s">
        <v>160</v>
      </c>
      <c r="E213" s="139">
        <v>46206</v>
      </c>
      <c r="F213" s="35" t="str">
        <f t="shared" si="20"/>
        <v>03/07/2026</v>
      </c>
      <c r="G213" s="141">
        <v>100</v>
      </c>
      <c r="H213" s="164">
        <v>3738</v>
      </c>
      <c r="I213" s="73" t="s">
        <v>472</v>
      </c>
      <c r="J213" s="123">
        <v>46192</v>
      </c>
      <c r="K213" s="21" t="s">
        <v>157</v>
      </c>
      <c r="L213" s="21"/>
      <c r="M213" s="21"/>
      <c r="N213" s="21"/>
      <c r="O213" s="21"/>
      <c r="P213" s="21"/>
      <c r="Q213" s="21"/>
      <c r="R213" s="21"/>
      <c r="S213" s="21"/>
    </row>
    <row r="214" spans="1:19" ht="15.75" x14ac:dyDescent="0.25">
      <c r="A214" s="21">
        <v>215</v>
      </c>
      <c r="B214" s="21">
        <v>85</v>
      </c>
      <c r="C214" s="21" t="str">
        <f t="shared" si="19"/>
        <v>5</v>
      </c>
      <c r="D214" s="27" t="s">
        <v>156</v>
      </c>
      <c r="E214" s="139">
        <v>46206</v>
      </c>
      <c r="F214" s="35" t="str">
        <f t="shared" si="20"/>
        <v>03/07/2026</v>
      </c>
      <c r="G214" s="141">
        <v>100</v>
      </c>
      <c r="H214" s="164">
        <v>4784</v>
      </c>
      <c r="I214" s="73" t="s">
        <v>374</v>
      </c>
      <c r="J214" s="123">
        <v>46192</v>
      </c>
      <c r="K214" s="21" t="s">
        <v>157</v>
      </c>
      <c r="L214" s="21"/>
      <c r="M214" s="21"/>
      <c r="N214" s="21"/>
      <c r="O214" s="21"/>
      <c r="P214" s="21"/>
      <c r="Q214" s="21"/>
      <c r="R214" s="21"/>
      <c r="S214" s="21"/>
    </row>
    <row r="215" spans="1:19" ht="15.75" x14ac:dyDescent="0.25">
      <c r="A215" s="21">
        <v>216</v>
      </c>
      <c r="B215" s="21">
        <v>86</v>
      </c>
      <c r="C215" s="21" t="str">
        <f t="shared" si="19"/>
        <v>7</v>
      </c>
      <c r="D215" s="27" t="s">
        <v>159</v>
      </c>
      <c r="E215" s="139">
        <v>46211</v>
      </c>
      <c r="F215" s="35" t="str">
        <f t="shared" si="20"/>
        <v>08/07/2026</v>
      </c>
      <c r="G215" s="141">
        <v>40</v>
      </c>
      <c r="H215" s="164">
        <v>1495.2</v>
      </c>
      <c r="I215" s="73" t="s">
        <v>389</v>
      </c>
      <c r="J215" s="123">
        <v>46209</v>
      </c>
      <c r="K215" s="21" t="s">
        <v>157</v>
      </c>
      <c r="L215" s="21"/>
      <c r="M215" s="21"/>
      <c r="N215" s="21"/>
      <c r="O215" s="21"/>
      <c r="P215" s="21"/>
      <c r="Q215" s="21"/>
      <c r="R215" s="21"/>
      <c r="S215" s="21"/>
    </row>
    <row r="216" spans="1:19" ht="15.75" x14ac:dyDescent="0.25">
      <c r="A216" s="21">
        <v>217</v>
      </c>
      <c r="B216" s="21">
        <v>87</v>
      </c>
      <c r="C216" s="21" t="str">
        <f t="shared" si="19"/>
        <v>7</v>
      </c>
      <c r="D216" s="27" t="s">
        <v>159</v>
      </c>
      <c r="E216" s="139">
        <v>46212</v>
      </c>
      <c r="F216" s="35" t="str">
        <f t="shared" si="20"/>
        <v>09/07/2026</v>
      </c>
      <c r="G216" s="141">
        <v>60</v>
      </c>
      <c r="H216" s="164">
        <v>2242.8000000000002</v>
      </c>
      <c r="I216" s="73" t="s">
        <v>391</v>
      </c>
      <c r="J216" s="123">
        <v>46206</v>
      </c>
      <c r="K216" s="21" t="s">
        <v>157</v>
      </c>
      <c r="L216" s="21"/>
      <c r="M216" s="21"/>
      <c r="N216" s="21"/>
      <c r="O216" s="21"/>
      <c r="P216" s="21"/>
      <c r="Q216" s="21"/>
      <c r="R216" s="21"/>
      <c r="S216" s="21"/>
    </row>
    <row r="217" spans="1:19" ht="15.75" x14ac:dyDescent="0.25">
      <c r="A217" s="21">
        <v>218</v>
      </c>
      <c r="B217" s="21">
        <v>88</v>
      </c>
      <c r="C217" s="21" t="str">
        <f t="shared" si="19"/>
        <v>5</v>
      </c>
      <c r="D217" s="27" t="s">
        <v>156</v>
      </c>
      <c r="E217" s="139">
        <v>46251</v>
      </c>
      <c r="F217" s="35" t="str">
        <f t="shared" si="20"/>
        <v>17/08/2026</v>
      </c>
      <c r="G217" s="141">
        <v>27</v>
      </c>
      <c r="H217" s="164">
        <v>1291.68</v>
      </c>
      <c r="I217" s="73" t="s">
        <v>476</v>
      </c>
      <c r="J217" s="123">
        <v>46211</v>
      </c>
      <c r="K217" s="21" t="s">
        <v>157</v>
      </c>
      <c r="L217" s="21"/>
      <c r="M217" s="21"/>
      <c r="N217" s="21"/>
      <c r="O217" s="21"/>
      <c r="P217" s="21"/>
      <c r="Q217" s="21"/>
      <c r="R217" s="21"/>
      <c r="S217" s="21"/>
    </row>
    <row r="218" spans="1:19" ht="15.75" x14ac:dyDescent="0.25">
      <c r="A218" s="21">
        <v>219</v>
      </c>
      <c r="B218" s="21">
        <v>88</v>
      </c>
      <c r="C218" s="21" t="str">
        <f t="shared" si="19"/>
        <v>5</v>
      </c>
      <c r="D218" s="27" t="s">
        <v>156</v>
      </c>
      <c r="E218" s="139">
        <v>46251</v>
      </c>
      <c r="F218" s="35" t="str">
        <f t="shared" si="20"/>
        <v>17/08/2026</v>
      </c>
      <c r="G218" s="141">
        <v>45</v>
      </c>
      <c r="H218" s="164">
        <v>2152.8000000000002</v>
      </c>
      <c r="I218" s="73" t="s">
        <v>396</v>
      </c>
      <c r="J218" s="123">
        <v>46211</v>
      </c>
      <c r="K218" s="21" t="s">
        <v>157</v>
      </c>
      <c r="L218" s="21"/>
      <c r="M218" s="21"/>
      <c r="N218" s="21"/>
      <c r="O218" s="21"/>
      <c r="P218" s="21"/>
      <c r="Q218" s="21"/>
      <c r="R218" s="21"/>
      <c r="S218" s="21"/>
    </row>
    <row r="219" spans="1:19" ht="15.75" x14ac:dyDescent="0.25">
      <c r="A219" s="21">
        <v>220</v>
      </c>
      <c r="B219" s="21">
        <v>88</v>
      </c>
      <c r="C219" s="21" t="str">
        <f t="shared" si="19"/>
        <v>5</v>
      </c>
      <c r="D219" s="27" t="s">
        <v>156</v>
      </c>
      <c r="E219" s="139">
        <v>46252</v>
      </c>
      <c r="F219" s="35" t="str">
        <f t="shared" si="20"/>
        <v>18/08/2026</v>
      </c>
      <c r="G219" s="141">
        <v>27</v>
      </c>
      <c r="H219" s="164">
        <v>1291.68</v>
      </c>
      <c r="I219" s="73" t="s">
        <v>476</v>
      </c>
      <c r="J219" s="123">
        <v>46211</v>
      </c>
      <c r="K219" s="21" t="s">
        <v>157</v>
      </c>
      <c r="L219" s="21"/>
      <c r="M219" s="21"/>
      <c r="N219" s="21"/>
      <c r="O219" s="21"/>
      <c r="P219" s="21"/>
      <c r="Q219" s="21"/>
      <c r="R219" s="21"/>
      <c r="S219" s="21"/>
    </row>
    <row r="220" spans="1:19" ht="15.75" x14ac:dyDescent="0.25">
      <c r="A220" s="21">
        <v>221</v>
      </c>
      <c r="B220" s="21">
        <v>88</v>
      </c>
      <c r="C220" s="21" t="str">
        <f t="shared" si="19"/>
        <v>5</v>
      </c>
      <c r="D220" s="27" t="s">
        <v>156</v>
      </c>
      <c r="E220" s="139">
        <v>46252</v>
      </c>
      <c r="F220" s="35" t="str">
        <f t="shared" si="20"/>
        <v>18/08/2026</v>
      </c>
      <c r="G220" s="141">
        <v>27</v>
      </c>
      <c r="H220" s="164">
        <v>1291.68</v>
      </c>
      <c r="I220" s="21" t="s">
        <v>29</v>
      </c>
      <c r="J220" s="123">
        <v>46211</v>
      </c>
      <c r="K220" s="21" t="s">
        <v>157</v>
      </c>
      <c r="L220" s="21"/>
      <c r="M220" s="21"/>
      <c r="N220" s="21"/>
      <c r="O220" s="21"/>
      <c r="P220" s="21"/>
      <c r="Q220" s="21"/>
      <c r="R220" s="21"/>
      <c r="S220" s="21"/>
    </row>
    <row r="221" spans="1:19" ht="15.75" x14ac:dyDescent="0.25">
      <c r="A221" s="21">
        <v>222</v>
      </c>
      <c r="B221" s="21">
        <v>88</v>
      </c>
      <c r="C221" s="21" t="str">
        <f t="shared" si="19"/>
        <v>5</v>
      </c>
      <c r="D221" s="27" t="s">
        <v>156</v>
      </c>
      <c r="E221" s="139">
        <v>46253</v>
      </c>
      <c r="F221" s="35" t="str">
        <f t="shared" si="20"/>
        <v>19/08/2026</v>
      </c>
      <c r="G221" s="141">
        <v>27</v>
      </c>
      <c r="H221" s="164">
        <v>1291.68</v>
      </c>
      <c r="I221" s="21" t="s">
        <v>476</v>
      </c>
      <c r="J221" s="123">
        <v>46211</v>
      </c>
      <c r="K221" s="21" t="s">
        <v>157</v>
      </c>
      <c r="L221" s="21"/>
      <c r="M221" s="21"/>
      <c r="N221" s="21"/>
      <c r="O221" s="21"/>
      <c r="P221" s="21"/>
      <c r="Q221" s="21"/>
      <c r="R221" s="21"/>
      <c r="S221" s="21"/>
    </row>
    <row r="222" spans="1:19" ht="15.75" x14ac:dyDescent="0.25">
      <c r="A222" s="21">
        <v>223</v>
      </c>
      <c r="B222" s="21">
        <v>88</v>
      </c>
      <c r="C222" s="21" t="str">
        <f t="shared" si="19"/>
        <v>5</v>
      </c>
      <c r="D222" s="27" t="s">
        <v>156</v>
      </c>
      <c r="E222" s="139">
        <v>46253</v>
      </c>
      <c r="F222" s="35" t="str">
        <f t="shared" si="20"/>
        <v>19/08/2026</v>
      </c>
      <c r="G222" s="141">
        <v>27</v>
      </c>
      <c r="H222" s="164">
        <v>1291.68</v>
      </c>
      <c r="I222" s="21" t="s">
        <v>29</v>
      </c>
      <c r="J222" s="123">
        <v>46211</v>
      </c>
      <c r="K222" s="21" t="s">
        <v>157</v>
      </c>
      <c r="L222" s="21"/>
      <c r="M222" s="21"/>
      <c r="N222" s="21"/>
      <c r="O222" s="21"/>
      <c r="P222" s="21"/>
      <c r="Q222" s="21"/>
      <c r="R222" s="21"/>
      <c r="S222" s="21"/>
    </row>
    <row r="223" spans="1:19" ht="15.75" x14ac:dyDescent="0.25">
      <c r="A223" s="21">
        <v>224</v>
      </c>
      <c r="B223" s="21">
        <v>88</v>
      </c>
      <c r="C223" s="21" t="str">
        <f t="shared" si="19"/>
        <v>5</v>
      </c>
      <c r="D223" s="27" t="s">
        <v>156</v>
      </c>
      <c r="E223" s="139">
        <v>46254</v>
      </c>
      <c r="F223" s="35" t="str">
        <f t="shared" si="20"/>
        <v>20/08/2026</v>
      </c>
      <c r="G223" s="141">
        <v>27</v>
      </c>
      <c r="H223" s="164">
        <v>1291.68</v>
      </c>
      <c r="I223" s="21" t="s">
        <v>476</v>
      </c>
      <c r="J223" s="123">
        <v>46211</v>
      </c>
      <c r="K223" s="21" t="s">
        <v>157</v>
      </c>
      <c r="L223" s="21"/>
      <c r="M223" s="21"/>
      <c r="N223" s="21"/>
      <c r="O223" s="21"/>
      <c r="P223" s="21"/>
      <c r="Q223" s="21"/>
      <c r="R223" s="21"/>
      <c r="S223" s="21"/>
    </row>
    <row r="224" spans="1:19" ht="15.75" x14ac:dyDescent="0.25">
      <c r="A224" s="21">
        <v>225</v>
      </c>
      <c r="B224" s="21">
        <v>88</v>
      </c>
      <c r="C224" s="21" t="str">
        <f t="shared" si="19"/>
        <v>5</v>
      </c>
      <c r="D224" s="27" t="s">
        <v>156</v>
      </c>
      <c r="E224" s="139">
        <v>46254</v>
      </c>
      <c r="F224" s="35" t="str">
        <f t="shared" si="20"/>
        <v>20/08/2026</v>
      </c>
      <c r="G224" s="141">
        <v>27</v>
      </c>
      <c r="H224" s="164">
        <v>1291.68</v>
      </c>
      <c r="I224" s="21" t="s">
        <v>29</v>
      </c>
      <c r="J224" s="123">
        <v>46211</v>
      </c>
      <c r="K224" s="21" t="s">
        <v>157</v>
      </c>
      <c r="L224" s="21"/>
      <c r="M224" s="21"/>
      <c r="N224" s="21"/>
      <c r="O224" s="21"/>
      <c r="P224" s="21"/>
      <c r="Q224" s="21"/>
      <c r="R224" s="21"/>
      <c r="S224" s="21"/>
    </row>
    <row r="225" spans="1:19" ht="15.75" x14ac:dyDescent="0.25">
      <c r="A225" s="21">
        <v>226</v>
      </c>
      <c r="B225" s="21">
        <v>88</v>
      </c>
      <c r="C225" s="21" t="str">
        <f t="shared" si="19"/>
        <v>5</v>
      </c>
      <c r="D225" s="27" t="s">
        <v>156</v>
      </c>
      <c r="E225" s="139">
        <v>46255</v>
      </c>
      <c r="F225" s="35" t="str">
        <f t="shared" si="20"/>
        <v>21/08/2026</v>
      </c>
      <c r="G225" s="141">
        <v>40</v>
      </c>
      <c r="H225" s="164">
        <v>1913.6</v>
      </c>
      <c r="I225" s="21" t="s">
        <v>374</v>
      </c>
      <c r="J225" s="123">
        <v>46211</v>
      </c>
      <c r="K225" s="21" t="s">
        <v>157</v>
      </c>
      <c r="L225" s="21"/>
      <c r="M225" s="21"/>
      <c r="N225" s="21"/>
      <c r="O225" s="21"/>
      <c r="P225" s="21"/>
      <c r="Q225" s="21"/>
      <c r="R225" s="21"/>
      <c r="S225" s="21"/>
    </row>
    <row r="226" spans="1:19" x14ac:dyDescent="0.25">
      <c r="A226" s="21" t="s">
        <v>403</v>
      </c>
      <c r="B226" s="21" t="s">
        <v>174</v>
      </c>
      <c r="C226" s="21" t="s">
        <v>175</v>
      </c>
      <c r="D226" s="27" t="s">
        <v>175</v>
      </c>
      <c r="E226" s="27" t="s">
        <v>179</v>
      </c>
      <c r="F226" s="27" t="s">
        <v>428</v>
      </c>
      <c r="G226" s="21" t="s">
        <v>176</v>
      </c>
      <c r="H226" s="27" t="s">
        <v>427</v>
      </c>
      <c r="I226" s="21" t="s">
        <v>177</v>
      </c>
      <c r="J226" s="21" t="s">
        <v>404</v>
      </c>
      <c r="K226" s="21" t="s">
        <v>178</v>
      </c>
      <c r="L226" s="21" t="s">
        <v>405</v>
      </c>
      <c r="M226" s="21" t="s">
        <v>406</v>
      </c>
      <c r="N226" s="21" t="s">
        <v>407</v>
      </c>
      <c r="O226" s="21" t="s">
        <v>408</v>
      </c>
      <c r="P226" s="21" t="s">
        <v>409</v>
      </c>
      <c r="Q226" s="21" t="s">
        <v>410</v>
      </c>
      <c r="R226" s="21" t="s">
        <v>411</v>
      </c>
      <c r="S226" s="21" t="s">
        <v>412</v>
      </c>
    </row>
  </sheetData>
  <phoneticPr fontId="19" type="noConversion"/>
  <conditionalFormatting sqref="K2:K6 K7:O29">
    <cfRule type="containsText" dxfId="130" priority="350" operator="containsText" text="Em negociação">
      <formula>NOT(ISERROR(SEARCH("Em negociação",K2)))</formula>
    </cfRule>
    <cfRule type="containsText" dxfId="129" priority="351" operator="containsText" text="Cancelado">
      <formula>NOT(ISERROR(SEARCH("Cancelado",K2)))</formula>
    </cfRule>
  </conditionalFormatting>
  <conditionalFormatting sqref="K55:K64 K180:K182 K187:K225">
    <cfRule type="containsText" dxfId="128" priority="289" operator="containsText" text="Contratado">
      <formula>NOT(ISERROR(SEARCH("Contratado",K55)))</formula>
    </cfRule>
    <cfRule type="containsText" dxfId="127" priority="290" operator="containsText" text="Em negociação">
      <formula>NOT(ISERROR(SEARCH("Em negociação",K55)))</formula>
    </cfRule>
    <cfRule type="containsText" dxfId="126" priority="291" operator="containsText" text="Cancelado">
      <formula>NOT(ISERROR(SEARCH("Cancelado",K55)))</formula>
    </cfRule>
  </conditionalFormatting>
  <conditionalFormatting sqref="K63">
    <cfRule type="containsText" dxfId="125" priority="326" operator="containsText" text="Em negociação">
      <formula>NOT(ISERROR(SEARCH("Em negociação",K63)))</formula>
    </cfRule>
    <cfRule type="containsText" dxfId="124" priority="327" operator="containsText" text="Cancelado">
      <formula>NOT(ISERROR(SEARCH("Cancelado",K63)))</formula>
    </cfRule>
  </conditionalFormatting>
  <conditionalFormatting sqref="K64:K65">
    <cfRule type="containsText" dxfId="123" priority="286" operator="containsText" text="Contratado">
      <formula>NOT(ISERROR(SEARCH("Contratado",K64)))</formula>
    </cfRule>
    <cfRule type="containsText" dxfId="122" priority="287" operator="containsText" text="Em negociação">
      <formula>NOT(ISERROR(SEARCH("Em negociação",K64)))</formula>
    </cfRule>
    <cfRule type="containsText" dxfId="121" priority="288" operator="containsText" text="Cancelado">
      <formula>NOT(ISERROR(SEARCH("Cancelado",K64)))</formula>
    </cfRule>
  </conditionalFormatting>
  <conditionalFormatting sqref="K65:K66">
    <cfRule type="containsText" dxfId="120" priority="283" operator="containsText" text="Contratado">
      <formula>NOT(ISERROR(SEARCH("Contratado",K65)))</formula>
    </cfRule>
    <cfRule type="containsText" dxfId="119" priority="284" operator="containsText" text="Em negociação">
      <formula>NOT(ISERROR(SEARCH("Em negociação",K65)))</formula>
    </cfRule>
    <cfRule type="containsText" dxfId="118" priority="285" operator="containsText" text="Cancelado">
      <formula>NOT(ISERROR(SEARCH("Cancelado",K65)))</formula>
    </cfRule>
  </conditionalFormatting>
  <conditionalFormatting sqref="K66:K67">
    <cfRule type="containsText" dxfId="117" priority="280" operator="containsText" text="Contratado">
      <formula>NOT(ISERROR(SEARCH("Contratado",K66)))</formula>
    </cfRule>
    <cfRule type="containsText" dxfId="116" priority="281" operator="containsText" text="Em negociação">
      <formula>NOT(ISERROR(SEARCH("Em negociação",K66)))</formula>
    </cfRule>
    <cfRule type="containsText" dxfId="115" priority="282" operator="containsText" text="Cancelado">
      <formula>NOT(ISERROR(SEARCH("Cancelado",K66)))</formula>
    </cfRule>
  </conditionalFormatting>
  <conditionalFormatting sqref="K67:K68">
    <cfRule type="containsText" dxfId="114" priority="277" operator="containsText" text="Contratado">
      <formula>NOT(ISERROR(SEARCH("Contratado",K67)))</formula>
    </cfRule>
    <cfRule type="containsText" dxfId="113" priority="278" operator="containsText" text="Em negociação">
      <formula>NOT(ISERROR(SEARCH("Em negociação",K67)))</formula>
    </cfRule>
    <cfRule type="containsText" dxfId="112" priority="279" operator="containsText" text="Cancelado">
      <formula>NOT(ISERROR(SEARCH("Cancelado",K67)))</formula>
    </cfRule>
  </conditionalFormatting>
  <conditionalFormatting sqref="K68:K69">
    <cfRule type="containsText" dxfId="111" priority="274" operator="containsText" text="Contratado">
      <formula>NOT(ISERROR(SEARCH("Contratado",K68)))</formula>
    </cfRule>
    <cfRule type="containsText" dxfId="110" priority="275" operator="containsText" text="Em negociação">
      <formula>NOT(ISERROR(SEARCH("Em negociação",K68)))</formula>
    </cfRule>
    <cfRule type="containsText" dxfId="109" priority="276" operator="containsText" text="Cancelado">
      <formula>NOT(ISERROR(SEARCH("Cancelado",K68)))</formula>
    </cfRule>
  </conditionalFormatting>
  <conditionalFormatting sqref="K69:K70">
    <cfRule type="containsText" dxfId="108" priority="271" operator="containsText" text="Contratado">
      <formula>NOT(ISERROR(SEARCH("Contratado",K69)))</formula>
    </cfRule>
    <cfRule type="containsText" dxfId="107" priority="272" operator="containsText" text="Em negociação">
      <formula>NOT(ISERROR(SEARCH("Em negociação",K69)))</formula>
    </cfRule>
    <cfRule type="containsText" dxfId="106" priority="273" operator="containsText" text="Cancelado">
      <formula>NOT(ISERROR(SEARCH("Cancelado",K69)))</formula>
    </cfRule>
  </conditionalFormatting>
  <conditionalFormatting sqref="K70:K71">
    <cfRule type="containsText" dxfId="105" priority="268" operator="containsText" text="Contratado">
      <formula>NOT(ISERROR(SEARCH("Contratado",K70)))</formula>
    </cfRule>
    <cfRule type="containsText" dxfId="104" priority="269" operator="containsText" text="Em negociação">
      <formula>NOT(ISERROR(SEARCH("Em negociação",K70)))</formula>
    </cfRule>
    <cfRule type="containsText" dxfId="103" priority="270" operator="containsText" text="Cancelado">
      <formula>NOT(ISERROR(SEARCH("Cancelado",K70)))</formula>
    </cfRule>
  </conditionalFormatting>
  <conditionalFormatting sqref="K71:K72">
    <cfRule type="containsText" dxfId="102" priority="265" operator="containsText" text="Contratado">
      <formula>NOT(ISERROR(SEARCH("Contratado",K71)))</formula>
    </cfRule>
    <cfRule type="containsText" dxfId="101" priority="266" operator="containsText" text="Em negociação">
      <formula>NOT(ISERROR(SEARCH("Em negociação",K71)))</formula>
    </cfRule>
    <cfRule type="containsText" dxfId="100" priority="267" operator="containsText" text="Cancelado">
      <formula>NOT(ISERROR(SEARCH("Cancelado",K71)))</formula>
    </cfRule>
  </conditionalFormatting>
  <conditionalFormatting sqref="K72:K73">
    <cfRule type="containsText" dxfId="99" priority="262" operator="containsText" text="Contratado">
      <formula>NOT(ISERROR(SEARCH("Contratado",K72)))</formula>
    </cfRule>
    <cfRule type="containsText" dxfId="98" priority="263" operator="containsText" text="Em negociação">
      <formula>NOT(ISERROR(SEARCH("Em negociação",K72)))</formula>
    </cfRule>
    <cfRule type="containsText" dxfId="97" priority="264" operator="containsText" text="Cancelado">
      <formula>NOT(ISERROR(SEARCH("Cancelado",K72)))</formula>
    </cfRule>
  </conditionalFormatting>
  <conditionalFormatting sqref="K73:K74">
    <cfRule type="containsText" dxfId="96" priority="259" operator="containsText" text="Contratado">
      <formula>NOT(ISERROR(SEARCH("Contratado",K73)))</formula>
    </cfRule>
    <cfRule type="containsText" dxfId="95" priority="260" operator="containsText" text="Em negociação">
      <formula>NOT(ISERROR(SEARCH("Em negociação",K73)))</formula>
    </cfRule>
    <cfRule type="containsText" dxfId="94" priority="261" operator="containsText" text="Cancelado">
      <formula>NOT(ISERROR(SEARCH("Cancelado",K73)))</formula>
    </cfRule>
  </conditionalFormatting>
  <conditionalFormatting sqref="K74:K75">
    <cfRule type="containsText" dxfId="93" priority="256" operator="containsText" text="Contratado">
      <formula>NOT(ISERROR(SEARCH("Contratado",K74)))</formula>
    </cfRule>
    <cfRule type="containsText" dxfId="92" priority="257" operator="containsText" text="Em negociação">
      <formula>NOT(ISERROR(SEARCH("Em negociação",K74)))</formula>
    </cfRule>
    <cfRule type="containsText" dxfId="91" priority="258" operator="containsText" text="Cancelado">
      <formula>NOT(ISERROR(SEARCH("Cancelado",K74)))</formula>
    </cfRule>
  </conditionalFormatting>
  <conditionalFormatting sqref="K75:K76">
    <cfRule type="containsText" dxfId="90" priority="253" operator="containsText" text="Contratado">
      <formula>NOT(ISERROR(SEARCH("Contratado",K75)))</formula>
    </cfRule>
    <cfRule type="containsText" dxfId="89" priority="254" operator="containsText" text="Em negociação">
      <formula>NOT(ISERROR(SEARCH("Em negociação",K75)))</formula>
    </cfRule>
    <cfRule type="containsText" dxfId="88" priority="255" operator="containsText" text="Cancelado">
      <formula>NOT(ISERROR(SEARCH("Cancelado",K75)))</formula>
    </cfRule>
  </conditionalFormatting>
  <conditionalFormatting sqref="K76:K77">
    <cfRule type="containsText" dxfId="87" priority="250" operator="containsText" text="Contratado">
      <formula>NOT(ISERROR(SEARCH("Contratado",K76)))</formula>
    </cfRule>
    <cfRule type="containsText" dxfId="86" priority="251" operator="containsText" text="Em negociação">
      <formula>NOT(ISERROR(SEARCH("Em negociação",K76)))</formula>
    </cfRule>
    <cfRule type="containsText" dxfId="85" priority="252" operator="containsText" text="Cancelado">
      <formula>NOT(ISERROR(SEARCH("Cancelado",K76)))</formula>
    </cfRule>
  </conditionalFormatting>
  <conditionalFormatting sqref="K77:K78">
    <cfRule type="containsText" dxfId="84" priority="247" operator="containsText" text="Contratado">
      <formula>NOT(ISERROR(SEARCH("Contratado",K77)))</formula>
    </cfRule>
    <cfRule type="containsText" dxfId="83" priority="248" operator="containsText" text="Em negociação">
      <formula>NOT(ISERROR(SEARCH("Em negociação",K77)))</formula>
    </cfRule>
    <cfRule type="containsText" dxfId="82" priority="249" operator="containsText" text="Cancelado">
      <formula>NOT(ISERROR(SEARCH("Cancelado",K77)))</formula>
    </cfRule>
  </conditionalFormatting>
  <conditionalFormatting sqref="K78:K79">
    <cfRule type="containsText" dxfId="81" priority="244" operator="containsText" text="Contratado">
      <formula>NOT(ISERROR(SEARCH("Contratado",K78)))</formula>
    </cfRule>
    <cfRule type="containsText" dxfId="80" priority="245" operator="containsText" text="Em negociação">
      <formula>NOT(ISERROR(SEARCH("Em negociação",K78)))</formula>
    </cfRule>
    <cfRule type="containsText" dxfId="79" priority="246" operator="containsText" text="Cancelado">
      <formula>NOT(ISERROR(SEARCH("Cancelado",K78)))</formula>
    </cfRule>
  </conditionalFormatting>
  <conditionalFormatting sqref="K79:K80">
    <cfRule type="containsText" dxfId="78" priority="241" operator="containsText" text="Contratado">
      <formula>NOT(ISERROR(SEARCH("Contratado",K79)))</formula>
    </cfRule>
    <cfRule type="containsText" dxfId="77" priority="242" operator="containsText" text="Em negociação">
      <formula>NOT(ISERROR(SEARCH("Em negociação",K79)))</formula>
    </cfRule>
    <cfRule type="containsText" dxfId="76" priority="243" operator="containsText" text="Cancelado">
      <formula>NOT(ISERROR(SEARCH("Cancelado",K79)))</formula>
    </cfRule>
  </conditionalFormatting>
  <conditionalFormatting sqref="K80:K81">
    <cfRule type="containsText" dxfId="75" priority="238" operator="containsText" text="Contratado">
      <formula>NOT(ISERROR(SEARCH("Contratado",K80)))</formula>
    </cfRule>
    <cfRule type="containsText" dxfId="74" priority="239" operator="containsText" text="Em negociação">
      <formula>NOT(ISERROR(SEARCH("Em negociação",K80)))</formula>
    </cfRule>
    <cfRule type="containsText" dxfId="73" priority="240" operator="containsText" text="Cancelado">
      <formula>NOT(ISERROR(SEARCH("Cancelado",K80)))</formula>
    </cfRule>
  </conditionalFormatting>
  <conditionalFormatting sqref="K81:K82">
    <cfRule type="containsText" dxfId="72" priority="235" operator="containsText" text="Contratado">
      <formula>NOT(ISERROR(SEARCH("Contratado",K81)))</formula>
    </cfRule>
    <cfRule type="containsText" dxfId="71" priority="236" operator="containsText" text="Em negociação">
      <formula>NOT(ISERROR(SEARCH("Em negociação",K81)))</formula>
    </cfRule>
    <cfRule type="containsText" dxfId="70" priority="237" operator="containsText" text="Cancelado">
      <formula>NOT(ISERROR(SEARCH("Cancelado",K81)))</formula>
    </cfRule>
  </conditionalFormatting>
  <conditionalFormatting sqref="K82:K85">
    <cfRule type="containsText" dxfId="69" priority="232" operator="containsText" text="Contratado">
      <formula>NOT(ISERROR(SEARCH("Contratado",K82)))</formula>
    </cfRule>
    <cfRule type="containsText" dxfId="68" priority="233" operator="containsText" text="Em negociação">
      <formula>NOT(ISERROR(SEARCH("Em negociação",K82)))</formula>
    </cfRule>
    <cfRule type="containsText" dxfId="67" priority="234" operator="containsText" text="Cancelado">
      <formula>NOT(ISERROR(SEARCH("Cancelado",K82)))</formula>
    </cfRule>
  </conditionalFormatting>
  <conditionalFormatting sqref="K83:K84">
    <cfRule type="containsText" dxfId="66" priority="226" operator="containsText" text="Contratado">
      <formula>NOT(ISERROR(SEARCH("Contratado",K83)))</formula>
    </cfRule>
    <cfRule type="containsText" dxfId="65" priority="227" operator="containsText" text="Em negociação">
      <formula>NOT(ISERROR(SEARCH("Em negociação",K83)))</formula>
    </cfRule>
    <cfRule type="containsText" dxfId="64" priority="228" operator="containsText" text="Cancelado">
      <formula>NOT(ISERROR(SEARCH("Cancelado",K83)))</formula>
    </cfRule>
  </conditionalFormatting>
  <conditionalFormatting sqref="K85 N56:O56">
    <cfRule type="containsText" dxfId="63" priority="331" operator="containsText" text="Contratado">
      <formula>NOT(ISERROR(SEARCH("Contratado",K56)))</formula>
    </cfRule>
  </conditionalFormatting>
  <conditionalFormatting sqref="K86">
    <cfRule type="containsText" dxfId="62" priority="220" operator="containsText" text="Contratado">
      <formula>NOT(ISERROR(SEARCH("Contratado",K86)))</formula>
    </cfRule>
    <cfRule type="containsText" dxfId="61" priority="221" operator="containsText" text="Em negociação">
      <formula>NOT(ISERROR(SEARCH("Em negociação",K86)))</formula>
    </cfRule>
    <cfRule type="containsText" dxfId="60" priority="222" operator="containsText" text="Cancelado">
      <formula>NOT(ISERROR(SEARCH("Cancelado",K86)))</formula>
    </cfRule>
  </conditionalFormatting>
  <conditionalFormatting sqref="K86:K87">
    <cfRule type="containsText" dxfId="59" priority="217" operator="containsText" text="Contratado">
      <formula>NOT(ISERROR(SEARCH("Contratado",K86)))</formula>
    </cfRule>
    <cfRule type="containsText" dxfId="58" priority="218" operator="containsText" text="Em negociação">
      <formula>NOT(ISERROR(SEARCH("Em negociação",K86)))</formula>
    </cfRule>
    <cfRule type="containsText" dxfId="57" priority="219" operator="containsText" text="Cancelado">
      <formula>NOT(ISERROR(SEARCH("Cancelado",K86)))</formula>
    </cfRule>
  </conditionalFormatting>
  <conditionalFormatting sqref="K87:K88">
    <cfRule type="containsText" dxfId="56" priority="208" operator="containsText" text="Contratado">
      <formula>NOT(ISERROR(SEARCH("Contratado",K87)))</formula>
    </cfRule>
    <cfRule type="containsText" dxfId="55" priority="209" operator="containsText" text="Em negociação">
      <formula>NOT(ISERROR(SEARCH("Em negociação",K87)))</formula>
    </cfRule>
    <cfRule type="containsText" dxfId="54" priority="210" operator="containsText" text="Cancelado">
      <formula>NOT(ISERROR(SEARCH("Cancelado",K87)))</formula>
    </cfRule>
  </conditionalFormatting>
  <conditionalFormatting sqref="K88:K145">
    <cfRule type="containsText" dxfId="53" priority="205" operator="containsText" text="Contratado">
      <formula>NOT(ISERROR(SEARCH("Contratado",K88)))</formula>
    </cfRule>
    <cfRule type="containsText" dxfId="52" priority="206" operator="containsText" text="Em negociação">
      <formula>NOT(ISERROR(SEARCH("Em negociação",K88)))</formula>
    </cfRule>
    <cfRule type="containsText" dxfId="51" priority="207" operator="containsText" text="Cancelado">
      <formula>NOT(ISERROR(SEARCH("Cancelado",K88)))</formula>
    </cfRule>
  </conditionalFormatting>
  <conditionalFormatting sqref="K89:K97">
    <cfRule type="containsText" dxfId="50" priority="190" operator="containsText" text="Contratado">
      <formula>NOT(ISERROR(SEARCH("Contratado",K89)))</formula>
    </cfRule>
    <cfRule type="containsText" dxfId="49" priority="191" operator="containsText" text="Em negociação">
      <formula>NOT(ISERROR(SEARCH("Em negociação",K89)))</formula>
    </cfRule>
    <cfRule type="containsText" dxfId="48" priority="192" operator="containsText" text="Cancelado">
      <formula>NOT(ISERROR(SEARCH("Cancelado",K89)))</formula>
    </cfRule>
  </conditionalFormatting>
  <conditionalFormatting sqref="K147">
    <cfRule type="containsText" dxfId="47" priority="109" operator="containsText" text="Contratado">
      <formula>NOT(ISERROR(SEARCH("Contratado",K147)))</formula>
    </cfRule>
    <cfRule type="containsText" dxfId="46" priority="110" operator="containsText" text="Em negociação">
      <formula>NOT(ISERROR(SEARCH("Em negociação",K147)))</formula>
    </cfRule>
    <cfRule type="containsText" dxfId="45" priority="111" operator="containsText" text="Cancelado">
      <formula>NOT(ISERROR(SEARCH("Cancelado",K147)))</formula>
    </cfRule>
  </conditionalFormatting>
  <conditionalFormatting sqref="K149:K179 K63 K98:K145">
    <cfRule type="containsText" dxfId="44" priority="325" operator="containsText" text="Contratado">
      <formula>NOT(ISERROR(SEARCH("Contratado",K63)))</formula>
    </cfRule>
  </conditionalFormatting>
  <conditionalFormatting sqref="K172:K183">
    <cfRule type="containsText" dxfId="43" priority="22" operator="containsText" text="Contratado">
      <formula>NOT(ISERROR(SEARCH("Contratado",K172)))</formula>
    </cfRule>
    <cfRule type="containsText" dxfId="42" priority="23" operator="containsText" text="Em negociação">
      <formula>NOT(ISERROR(SEARCH("Em negociação",K172)))</formula>
    </cfRule>
    <cfRule type="containsText" dxfId="41" priority="24" operator="containsText" text="Cancelado">
      <formula>NOT(ISERROR(SEARCH("Cancelado",K172)))</formula>
    </cfRule>
  </conditionalFormatting>
  <conditionalFormatting sqref="K183:K184">
    <cfRule type="containsText" dxfId="40" priority="16" operator="containsText" text="Contratado">
      <formula>NOT(ISERROR(SEARCH("Contratado",K183)))</formula>
    </cfRule>
    <cfRule type="containsText" dxfId="39" priority="17" operator="containsText" text="Em negociação">
      <formula>NOT(ISERROR(SEARCH("Em negociação",K183)))</formula>
    </cfRule>
    <cfRule type="containsText" dxfId="38" priority="18" operator="containsText" text="Cancelado">
      <formula>NOT(ISERROR(SEARCH("Cancelado",K183)))</formula>
    </cfRule>
  </conditionalFormatting>
  <conditionalFormatting sqref="K184:K185">
    <cfRule type="containsText" dxfId="37" priority="10" operator="containsText" text="Contratado">
      <formula>NOT(ISERROR(SEARCH("Contratado",K184)))</formula>
    </cfRule>
    <cfRule type="containsText" dxfId="36" priority="11" operator="containsText" text="Em negociação">
      <formula>NOT(ISERROR(SEARCH("Em negociação",K184)))</formula>
    </cfRule>
    <cfRule type="containsText" dxfId="35" priority="12" operator="containsText" text="Cancelado">
      <formula>NOT(ISERROR(SEARCH("Cancelado",K184)))</formula>
    </cfRule>
  </conditionalFormatting>
  <conditionalFormatting sqref="K185:K225">
    <cfRule type="containsText" dxfId="34" priority="4" operator="containsText" text="Contratado">
      <formula>NOT(ISERROR(SEARCH("Contratado",K185)))</formula>
    </cfRule>
    <cfRule type="containsText" dxfId="33" priority="5" operator="containsText" text="Em negociação">
      <formula>NOT(ISERROR(SEARCH("Em negociação",K185)))</formula>
    </cfRule>
    <cfRule type="containsText" dxfId="32" priority="6" operator="containsText" text="Cancelado">
      <formula>NOT(ISERROR(SEARCH("Cancelado",K185)))</formula>
    </cfRule>
  </conditionalFormatting>
  <conditionalFormatting sqref="K186">
    <cfRule type="containsText" dxfId="31" priority="1" operator="containsText" text="Contratado">
      <formula>NOT(ISERROR(SEARCH("Contratado",K186)))</formula>
    </cfRule>
    <cfRule type="containsText" dxfId="30" priority="2" operator="containsText" text="Em negociação">
      <formula>NOT(ISERROR(SEARCH("Em negociação",K186)))</formula>
    </cfRule>
    <cfRule type="containsText" dxfId="29" priority="3" operator="containsText" text="Cancelado">
      <formula>NOT(ISERROR(SEARCH("Cancelado",K186)))</formula>
    </cfRule>
  </conditionalFormatting>
  <conditionalFormatting sqref="K7:O21 K2:K6">
    <cfRule type="containsText" dxfId="28" priority="349" operator="containsText" text="Contratado">
      <formula>NOT(ISERROR(SEARCH("Contratado",K2)))</formula>
    </cfRule>
  </conditionalFormatting>
  <conditionalFormatting sqref="K16:O16">
    <cfRule type="containsText" dxfId="27" priority="344" operator="containsText" text="Em negociação">
      <formula>NOT(ISERROR(SEARCH("Em negociação",K16)))</formula>
    </cfRule>
    <cfRule type="containsText" dxfId="26" priority="345" operator="containsText" text="Cancelado">
      <formula>NOT(ISERROR(SEARCH("Cancelado",K16)))</formula>
    </cfRule>
  </conditionalFormatting>
  <conditionalFormatting sqref="K30:O54 K148:O148">
    <cfRule type="containsText" dxfId="25" priority="299" operator="containsText" text="Em negociação">
      <formula>NOT(ISERROR(SEARCH("Em negociação",K30)))</formula>
    </cfRule>
    <cfRule type="containsText" dxfId="24" priority="300" operator="containsText" text="Cancelado">
      <formula>NOT(ISERROR(SEARCH("Cancelado",K30)))</formula>
    </cfRule>
  </conditionalFormatting>
  <conditionalFormatting sqref="K146:O148 K149:K155">
    <cfRule type="containsText" dxfId="23" priority="292" operator="containsText" text="Contratado">
      <formula>NOT(ISERROR(SEARCH("Contratado",K146)))</formula>
    </cfRule>
    <cfRule type="containsText" dxfId="22" priority="293" operator="containsText" text="Em negociação">
      <formula>NOT(ISERROR(SEARCH("Em negociação",K146)))</formula>
    </cfRule>
    <cfRule type="containsText" dxfId="21" priority="294" operator="containsText" text="Cancelado">
      <formula>NOT(ISERROR(SEARCH("Cancelado",K146)))</formula>
    </cfRule>
  </conditionalFormatting>
  <conditionalFormatting sqref="K148:O148 K22:O54">
    <cfRule type="containsText" dxfId="20" priority="298" operator="containsText" text="Contratado">
      <formula>NOT(ISERROR(SEARCH("Contratado",K22)))</formula>
    </cfRule>
  </conditionalFormatting>
  <conditionalFormatting sqref="N56:O56 K85 K98:K145 K149:K179">
    <cfRule type="containsText" dxfId="19" priority="332" operator="containsText" text="Em negociação">
      <formula>NOT(ISERROR(SEARCH("Em negociação",K56)))</formula>
    </cfRule>
    <cfRule type="containsText" dxfId="18" priority="333" operator="containsText" text="Cancelado">
      <formula>NOT(ISERROR(SEARCH("Cancelado",K56)))</formula>
    </cfRule>
  </conditionalFormatting>
  <conditionalFormatting sqref="Q36:Q49">
    <cfRule type="containsText" dxfId="17" priority="322" operator="containsText" text="Contratado">
      <formula>NOT(ISERROR(SEARCH("Contratado",Q36)))</formula>
    </cfRule>
    <cfRule type="containsText" dxfId="16" priority="323" operator="containsText" text="Em negociação">
      <formula>NOT(ISERROR(SEARCH("Em negociação",Q36)))</formula>
    </cfRule>
    <cfRule type="containsText" dxfId="15" priority="324" operator="containsText" text="Cancelado">
      <formula>NOT(ISERROR(SEARCH("Cancelado",Q36)))</formula>
    </cfRule>
  </conditionalFormatting>
  <conditionalFormatting sqref="Q51:Q56">
    <cfRule type="containsText" dxfId="14" priority="307" operator="containsText" text="Contratado">
      <formula>NOT(ISERROR(SEARCH("Contratado",Q51)))</formula>
    </cfRule>
    <cfRule type="containsText" dxfId="13" priority="308" operator="containsText" text="Em negociação">
      <formula>NOT(ISERROR(SEARCH("Em negociação",Q51)))</formula>
    </cfRule>
    <cfRule type="containsText" dxfId="12" priority="309" operator="containsText" text="Cancelado">
      <formula>NOT(ISERROR(SEARCH("Cancelado",Q51)))</formula>
    </cfRule>
  </conditionalFormatting>
  <conditionalFormatting sqref="R2:R57 R59:R200">
    <cfRule type="containsText" dxfId="11" priority="352" operator="containsText" text="Pago">
      <formula>NOT(ISERROR(SEARCH("Pago",R2)))</formula>
    </cfRule>
    <cfRule type="containsText" dxfId="10" priority="353" operator="containsText" text="Faturado">
      <formula>NOT(ISERROR(SEARCH("Faturado",R2)))</formula>
    </cfRule>
    <cfRule type="containsText" dxfId="9" priority="354" operator="containsText" text="A Faturar">
      <formula>NOT(ISERROR(SEARCH("A Faturar",R2)))</formula>
    </cfRule>
  </conditionalFormatting>
  <conditionalFormatting sqref="R16">
    <cfRule type="containsText" dxfId="8" priority="340" operator="containsText" text="Pago">
      <formula>NOT(ISERROR(SEARCH("Pago",R16)))</formula>
    </cfRule>
    <cfRule type="containsText" dxfId="7" priority="341" operator="containsText" text="Faturado">
      <formula>NOT(ISERROR(SEARCH("Faturado",R16)))</formula>
    </cfRule>
    <cfRule type="containsText" dxfId="6" priority="342" operator="containsText" text="A Faturar">
      <formula>NOT(ISERROR(SEARCH("A Faturar",R16)))</formula>
    </cfRule>
  </conditionalFormatting>
  <conditionalFormatting sqref="S36">
    <cfRule type="containsText" dxfId="5" priority="337" operator="containsText" text="Contratado">
      <formula>NOT(ISERROR(SEARCH("Contratado",S36)))</formula>
    </cfRule>
    <cfRule type="containsText" dxfId="4" priority="338" operator="containsText" text="Em negociação">
      <formula>NOT(ISERROR(SEARCH("Em negociação",S36)))</formula>
    </cfRule>
    <cfRule type="containsText" dxfId="3" priority="339" operator="containsText" text="Cancelado">
      <formula>NOT(ISERROR(SEARCH("Cancelado",S36)))</formula>
    </cfRule>
  </conditionalFormatting>
  <dataValidations count="4">
    <dataValidation type="list" allowBlank="1" showInputMessage="1" showErrorMessage="1" sqref="D59:D85 D54:D55 D16" xr:uid="{68A8EC49-39E7-4125-B120-A4E9EF91D9FB}">
      <formula1>"1 - Empratado especial,2 - Empratado para almoço,3 - Buffet,4 - Coquetel,5 - Coffee Break,6 - Refeições simplificadas,7 - Lunch Box, 8 - Café da Manhã,9 - Serviço de Apoio"</formula1>
    </dataValidation>
    <dataValidation type="list" allowBlank="1" showInputMessage="1" showErrorMessage="1" sqref="R59:R93 R2:R57 R97:R200" xr:uid="{66452726-6506-404E-B12B-4052FCBF9547}">
      <formula1>"A Faturar, Faturado, Pago"</formula1>
    </dataValidation>
    <dataValidation type="list" allowBlank="1" showInputMessage="1" showErrorMessage="1" sqref="L54:O54 K2:K225" xr:uid="{E774B2B3-8E3E-4BF3-9E32-9864C8A35EDC}">
      <formula1>"Em negociação, Contratado, Cancelado"</formula1>
    </dataValidation>
    <dataValidation type="list" allowBlank="1" showInputMessage="1" showErrorMessage="1" sqref="D2:D200" xr:uid="{D7662813-A08F-4894-9FBC-81F9FDF11FEF}">
      <formula1>"1-Empratado Especial,2-Empratado para Almoço,3-Buffet,4-Coquetel,5-Coffee Break,6-Refeições Simplificadas,7-Lunch Box,8-Café da Manhã,9-Serviço de Apoio,10-Serviço de Bebida Especial,11-Serviço de Apoio Especial,12-Serviço de Apoio Vip,13-Brunch"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D1EB-C4B6-4018-B6BA-99B8E6AFA988}">
  <dimension ref="A1:J2"/>
  <sheetViews>
    <sheetView workbookViewId="0">
      <selection activeCell="C10" sqref="C10"/>
    </sheetView>
  </sheetViews>
  <sheetFormatPr defaultRowHeight="15" x14ac:dyDescent="0.25"/>
  <cols>
    <col min="2" max="2" width="32.140625" bestFit="1" customWidth="1"/>
    <col min="3" max="3" width="12" bestFit="1" customWidth="1"/>
    <col min="4" max="4" width="160.42578125" bestFit="1" customWidth="1"/>
    <col min="5" max="5" width="14.5703125" bestFit="1" customWidth="1"/>
    <col min="6" max="6" width="13.140625" bestFit="1" customWidth="1"/>
    <col min="7" max="7" width="15.28515625" bestFit="1" customWidth="1"/>
  </cols>
  <sheetData>
    <row r="1" spans="1:10" x14ac:dyDescent="0.25">
      <c r="A1" t="s">
        <v>155</v>
      </c>
      <c r="B1" s="16" t="s">
        <v>153</v>
      </c>
      <c r="C1" s="16" t="s">
        <v>152</v>
      </c>
      <c r="D1" s="17" t="s">
        <v>154</v>
      </c>
      <c r="E1" t="s">
        <v>452</v>
      </c>
      <c r="F1" t="s">
        <v>454</v>
      </c>
      <c r="G1" t="s">
        <v>455</v>
      </c>
      <c r="H1" t="s">
        <v>456</v>
      </c>
      <c r="I1" t="s">
        <v>457</v>
      </c>
      <c r="J1" t="s">
        <v>473</v>
      </c>
    </row>
    <row r="2" spans="1:10" ht="42.75" x14ac:dyDescent="0.25">
      <c r="A2" s="165">
        <v>88</v>
      </c>
      <c r="B2" s="154" t="s">
        <v>474</v>
      </c>
      <c r="C2" s="155" t="s">
        <v>0</v>
      </c>
      <c r="D2" s="1" t="s">
        <v>475</v>
      </c>
      <c r="E2" t="s">
        <v>458</v>
      </c>
      <c r="F2" s="153">
        <v>46217</v>
      </c>
      <c r="G2" t="s">
        <v>453</v>
      </c>
      <c r="H2" t="s">
        <v>453</v>
      </c>
      <c r="I2" t="s">
        <v>453</v>
      </c>
      <c r="J2" t="s">
        <v>458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9846-3FC7-461B-A6B7-BA7ECF2BB84E}">
  <dimension ref="A1:S10"/>
  <sheetViews>
    <sheetView tabSelected="1" topLeftCell="I1" workbookViewId="0">
      <selection activeCell="D16" sqref="D16"/>
    </sheetView>
  </sheetViews>
  <sheetFormatPr defaultRowHeight="15" x14ac:dyDescent="0.25"/>
  <cols>
    <col min="1" max="1" width="8.85546875" bestFit="1" customWidth="1"/>
    <col min="2" max="2" width="22.28515625" bestFit="1" customWidth="1"/>
    <col min="3" max="3" width="14.140625" bestFit="1" customWidth="1"/>
    <col min="4" max="4" width="30.28515625" bestFit="1" customWidth="1"/>
    <col min="5" max="5" width="30" bestFit="1" customWidth="1"/>
    <col min="6" max="6" width="15.85546875" bestFit="1" customWidth="1"/>
    <col min="7" max="7" width="17" bestFit="1" customWidth="1"/>
    <col min="8" max="8" width="14" bestFit="1" customWidth="1"/>
    <col min="9" max="9" width="48" customWidth="1"/>
    <col min="10" max="10" width="21.140625" bestFit="1" customWidth="1"/>
    <col min="11" max="11" width="15.7109375" bestFit="1" customWidth="1"/>
    <col min="12" max="12" width="25" bestFit="1" customWidth="1"/>
    <col min="13" max="13" width="32.140625" bestFit="1" customWidth="1"/>
    <col min="14" max="14" width="24.140625" bestFit="1" customWidth="1"/>
    <col min="15" max="15" width="14.5703125" bestFit="1" customWidth="1"/>
    <col min="16" max="16" width="16.7109375" bestFit="1" customWidth="1"/>
    <col min="17" max="17" width="0" hidden="1" customWidth="1"/>
    <col min="18" max="18" width="18.7109375" bestFit="1" customWidth="1"/>
    <col min="19" max="19" width="24.140625" bestFit="1" customWidth="1"/>
  </cols>
  <sheetData>
    <row r="1" spans="1:19" x14ac:dyDescent="0.25">
      <c r="A1" s="21" t="s">
        <v>403</v>
      </c>
      <c r="B1" s="21" t="s">
        <v>174</v>
      </c>
      <c r="C1" s="25" t="s">
        <v>175</v>
      </c>
      <c r="D1" s="27" t="s">
        <v>175</v>
      </c>
      <c r="E1" s="27" t="s">
        <v>179</v>
      </c>
      <c r="F1" s="27" t="s">
        <v>428</v>
      </c>
      <c r="G1" s="21" t="s">
        <v>176</v>
      </c>
      <c r="H1" s="65" t="s">
        <v>427</v>
      </c>
      <c r="I1" s="21" t="s">
        <v>177</v>
      </c>
      <c r="J1" s="25" t="s">
        <v>404</v>
      </c>
      <c r="K1" s="21" t="s">
        <v>178</v>
      </c>
      <c r="L1" s="21" t="s">
        <v>405</v>
      </c>
      <c r="M1" s="21" t="s">
        <v>406</v>
      </c>
      <c r="N1" s="21" t="s">
        <v>407</v>
      </c>
      <c r="O1" s="21" t="s">
        <v>408</v>
      </c>
      <c r="P1" s="21" t="s">
        <v>409</v>
      </c>
      <c r="Q1" s="21" t="s">
        <v>410</v>
      </c>
      <c r="R1" s="21" t="s">
        <v>411</v>
      </c>
      <c r="S1" s="21" t="s">
        <v>412</v>
      </c>
    </row>
    <row r="2" spans="1:19" ht="15.75" x14ac:dyDescent="0.25">
      <c r="A2" s="21">
        <v>218</v>
      </c>
      <c r="B2" s="21">
        <v>88</v>
      </c>
      <c r="C2" s="21" t="str">
        <f t="shared" ref="C2:C10" si="0">LEFT(D2,FIND("-",D2)-1)</f>
        <v>5</v>
      </c>
      <c r="D2" s="27" t="s">
        <v>156</v>
      </c>
      <c r="E2" s="139">
        <v>46251</v>
      </c>
      <c r="F2" s="35" t="str">
        <f t="shared" ref="F2:F10" si="1">TEXT(LEFT(E2,10),"DD/MM/AAAA")</f>
        <v>17/08/2026</v>
      </c>
      <c r="G2" s="141">
        <v>27</v>
      </c>
      <c r="H2" s="164">
        <v>1291.68</v>
      </c>
      <c r="I2" s="73" t="s">
        <v>476</v>
      </c>
      <c r="J2" s="123">
        <v>46211</v>
      </c>
      <c r="K2" s="21" t="s">
        <v>157</v>
      </c>
      <c r="L2" s="21"/>
      <c r="M2" s="21"/>
      <c r="N2" s="21"/>
      <c r="O2" s="21"/>
      <c r="P2" s="21"/>
      <c r="Q2" s="21"/>
      <c r="R2" s="21"/>
      <c r="S2" s="21"/>
    </row>
    <row r="3" spans="1:19" ht="15.75" x14ac:dyDescent="0.25">
      <c r="A3" s="21">
        <v>219</v>
      </c>
      <c r="B3" s="21">
        <v>88</v>
      </c>
      <c r="C3" s="21" t="str">
        <f t="shared" si="0"/>
        <v>5</v>
      </c>
      <c r="D3" s="27" t="s">
        <v>156</v>
      </c>
      <c r="E3" s="139">
        <v>46251</v>
      </c>
      <c r="F3" s="35" t="str">
        <f t="shared" si="1"/>
        <v>17/08/2026</v>
      </c>
      <c r="G3" s="141">
        <v>45</v>
      </c>
      <c r="H3" s="164">
        <v>2152.8000000000002</v>
      </c>
      <c r="I3" s="73" t="s">
        <v>396</v>
      </c>
      <c r="J3" s="123">
        <v>46211</v>
      </c>
      <c r="K3" s="21" t="s">
        <v>157</v>
      </c>
      <c r="L3" s="21"/>
      <c r="M3" s="21"/>
      <c r="N3" s="21"/>
      <c r="O3" s="21"/>
      <c r="P3" s="21"/>
      <c r="Q3" s="21"/>
      <c r="R3" s="21"/>
      <c r="S3" s="21"/>
    </row>
    <row r="4" spans="1:19" ht="15.75" x14ac:dyDescent="0.25">
      <c r="A4" s="21">
        <v>220</v>
      </c>
      <c r="B4" s="21">
        <v>88</v>
      </c>
      <c r="C4" s="21" t="str">
        <f t="shared" si="0"/>
        <v>5</v>
      </c>
      <c r="D4" s="27" t="s">
        <v>156</v>
      </c>
      <c r="E4" s="139">
        <v>46252</v>
      </c>
      <c r="F4" s="35" t="str">
        <f t="shared" si="1"/>
        <v>18/08/2026</v>
      </c>
      <c r="G4" s="141">
        <v>27</v>
      </c>
      <c r="H4" s="164">
        <v>1291.68</v>
      </c>
      <c r="I4" s="73" t="s">
        <v>476</v>
      </c>
      <c r="J4" s="123">
        <v>46211</v>
      </c>
      <c r="K4" s="21" t="s">
        <v>157</v>
      </c>
      <c r="L4" s="21"/>
      <c r="M4" s="21"/>
      <c r="N4" s="21"/>
      <c r="O4" s="21"/>
      <c r="P4" s="21"/>
      <c r="Q4" s="21"/>
      <c r="R4" s="21"/>
      <c r="S4" s="21"/>
    </row>
    <row r="5" spans="1:19" ht="15.75" x14ac:dyDescent="0.25">
      <c r="A5" s="21">
        <v>221</v>
      </c>
      <c r="B5" s="21">
        <v>88</v>
      </c>
      <c r="C5" s="21" t="str">
        <f t="shared" si="0"/>
        <v>5</v>
      </c>
      <c r="D5" s="27" t="s">
        <v>156</v>
      </c>
      <c r="E5" s="139">
        <v>46252</v>
      </c>
      <c r="F5" s="35" t="str">
        <f t="shared" si="1"/>
        <v>18/08/2026</v>
      </c>
      <c r="G5" s="141">
        <v>27</v>
      </c>
      <c r="H5" s="164">
        <v>1291.68</v>
      </c>
      <c r="I5" s="21" t="s">
        <v>29</v>
      </c>
      <c r="J5" s="123">
        <v>46211</v>
      </c>
      <c r="K5" s="21" t="s">
        <v>157</v>
      </c>
      <c r="L5" s="21"/>
      <c r="M5" s="21"/>
      <c r="N5" s="21"/>
      <c r="O5" s="21"/>
      <c r="P5" s="21"/>
      <c r="Q5" s="21"/>
      <c r="R5" s="21"/>
      <c r="S5" s="21"/>
    </row>
    <row r="6" spans="1:19" ht="15.75" x14ac:dyDescent="0.25">
      <c r="A6" s="21">
        <v>222</v>
      </c>
      <c r="B6" s="21">
        <v>88</v>
      </c>
      <c r="C6" s="21" t="str">
        <f t="shared" si="0"/>
        <v>5</v>
      </c>
      <c r="D6" s="27" t="s">
        <v>156</v>
      </c>
      <c r="E6" s="139">
        <v>46253</v>
      </c>
      <c r="F6" s="35" t="str">
        <f t="shared" si="1"/>
        <v>19/08/2026</v>
      </c>
      <c r="G6" s="141">
        <v>27</v>
      </c>
      <c r="H6" s="164">
        <v>1291.68</v>
      </c>
      <c r="I6" s="21" t="s">
        <v>476</v>
      </c>
      <c r="J6" s="123">
        <v>46211</v>
      </c>
      <c r="K6" s="21" t="s">
        <v>157</v>
      </c>
      <c r="L6" s="21"/>
      <c r="M6" s="21"/>
      <c r="N6" s="21"/>
      <c r="O6" s="21"/>
      <c r="P6" s="21"/>
      <c r="Q6" s="21"/>
      <c r="R6" s="21"/>
      <c r="S6" s="21"/>
    </row>
    <row r="7" spans="1:19" ht="15.75" x14ac:dyDescent="0.25">
      <c r="A7" s="21">
        <v>223</v>
      </c>
      <c r="B7" s="21">
        <v>88</v>
      </c>
      <c r="C7" s="21" t="str">
        <f t="shared" si="0"/>
        <v>5</v>
      </c>
      <c r="D7" s="27" t="s">
        <v>156</v>
      </c>
      <c r="E7" s="139">
        <v>46253</v>
      </c>
      <c r="F7" s="35" t="str">
        <f t="shared" si="1"/>
        <v>19/08/2026</v>
      </c>
      <c r="G7" s="141">
        <v>27</v>
      </c>
      <c r="H7" s="164">
        <v>1291.68</v>
      </c>
      <c r="I7" s="21" t="s">
        <v>29</v>
      </c>
      <c r="J7" s="123">
        <v>46211</v>
      </c>
      <c r="K7" s="21" t="s">
        <v>157</v>
      </c>
      <c r="L7" s="21"/>
      <c r="M7" s="21"/>
      <c r="N7" s="21"/>
      <c r="O7" s="21"/>
      <c r="P7" s="21"/>
      <c r="Q7" s="21"/>
      <c r="R7" s="21"/>
      <c r="S7" s="21"/>
    </row>
    <row r="8" spans="1:19" ht="15.75" x14ac:dyDescent="0.25">
      <c r="A8" s="21">
        <v>224</v>
      </c>
      <c r="B8" s="21">
        <v>88</v>
      </c>
      <c r="C8" s="21" t="str">
        <f t="shared" si="0"/>
        <v>5</v>
      </c>
      <c r="D8" s="27" t="s">
        <v>156</v>
      </c>
      <c r="E8" s="139">
        <v>46254</v>
      </c>
      <c r="F8" s="35" t="str">
        <f t="shared" si="1"/>
        <v>20/08/2026</v>
      </c>
      <c r="G8" s="141">
        <v>27</v>
      </c>
      <c r="H8" s="164">
        <v>1291.68</v>
      </c>
      <c r="I8" s="21" t="s">
        <v>476</v>
      </c>
      <c r="J8" s="123">
        <v>46211</v>
      </c>
      <c r="K8" s="21" t="s">
        <v>157</v>
      </c>
      <c r="L8" s="21"/>
      <c r="M8" s="21"/>
      <c r="N8" s="21"/>
      <c r="O8" s="21"/>
      <c r="P8" s="21"/>
      <c r="Q8" s="21"/>
      <c r="R8" s="21"/>
      <c r="S8" s="21"/>
    </row>
    <row r="9" spans="1:19" ht="15.75" x14ac:dyDescent="0.25">
      <c r="A9" s="21">
        <v>225</v>
      </c>
      <c r="B9" s="21">
        <v>88</v>
      </c>
      <c r="C9" s="21" t="str">
        <f t="shared" si="0"/>
        <v>5</v>
      </c>
      <c r="D9" s="27" t="s">
        <v>156</v>
      </c>
      <c r="E9" s="139">
        <v>46254</v>
      </c>
      <c r="F9" s="35" t="str">
        <f t="shared" si="1"/>
        <v>20/08/2026</v>
      </c>
      <c r="G9" s="141">
        <v>27</v>
      </c>
      <c r="H9" s="164">
        <v>1291.68</v>
      </c>
      <c r="I9" s="21" t="s">
        <v>29</v>
      </c>
      <c r="J9" s="123">
        <v>46211</v>
      </c>
      <c r="K9" s="21" t="s">
        <v>157</v>
      </c>
      <c r="L9" s="21"/>
      <c r="M9" s="21"/>
      <c r="N9" s="21"/>
      <c r="O9" s="21"/>
      <c r="P9" s="21"/>
      <c r="Q9" s="21"/>
      <c r="R9" s="21"/>
      <c r="S9" s="21"/>
    </row>
    <row r="10" spans="1:19" ht="15.75" x14ac:dyDescent="0.25">
      <c r="A10" s="21">
        <v>226</v>
      </c>
      <c r="B10" s="21">
        <v>88</v>
      </c>
      <c r="C10" s="21" t="str">
        <f t="shared" si="0"/>
        <v>5</v>
      </c>
      <c r="D10" s="27" t="s">
        <v>156</v>
      </c>
      <c r="E10" s="139">
        <v>46255</v>
      </c>
      <c r="F10" s="35" t="str">
        <f t="shared" si="1"/>
        <v>21/08/2026</v>
      </c>
      <c r="G10" s="141">
        <v>40</v>
      </c>
      <c r="H10" s="164">
        <v>1913.6</v>
      </c>
      <c r="I10" s="21" t="s">
        <v>374</v>
      </c>
      <c r="J10" s="123">
        <v>46211</v>
      </c>
      <c r="K10" s="21" t="s">
        <v>157</v>
      </c>
      <c r="L10" s="21"/>
      <c r="M10" s="21"/>
      <c r="N10" s="21"/>
      <c r="O10" s="21"/>
      <c r="P10" s="21"/>
      <c r="Q10" s="21"/>
      <c r="R10" s="21"/>
      <c r="S10" s="21"/>
    </row>
  </sheetData>
  <conditionalFormatting sqref="K2:K10">
    <cfRule type="containsText" dxfId="2" priority="94" operator="containsText" text="Contratado">
      <formula>NOT(ISERROR(SEARCH("Contratado",K2)))</formula>
    </cfRule>
    <cfRule type="containsText" dxfId="1" priority="95" operator="containsText" text="Em negociação">
      <formula>NOT(ISERROR(SEARCH("Em negociação",K2)))</formula>
    </cfRule>
    <cfRule type="containsText" dxfId="0" priority="96" operator="containsText" text="Cancelado">
      <formula>NOT(ISERROR(SEARCH("Cancelado",K2)))</formula>
    </cfRule>
  </conditionalFormatting>
  <dataValidations count="1">
    <dataValidation type="list" allowBlank="1" showInputMessage="1" showErrorMessage="1" sqref="K2:K10" xr:uid="{77593DB2-A721-4B4C-8A5D-F7FDEDE09667}">
      <formula1>"Em negociação, Contratado, Cancelado"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BUF_SOLICITACAO</vt:lpstr>
      <vt:lpstr>BUF_ITEM_SOLICITACAO</vt:lpstr>
      <vt:lpstr>Novos sol</vt:lpstr>
      <vt:lpstr>Novos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Honda Kobayashi</dc:creator>
  <cp:lastModifiedBy>Marcelo Honda Kobayashi</cp:lastModifiedBy>
  <dcterms:created xsi:type="dcterms:W3CDTF">2026-03-09T17:21:22Z</dcterms:created>
  <dcterms:modified xsi:type="dcterms:W3CDTF">2026-07-14T12:54:36Z</dcterms:modified>
</cp:coreProperties>
</file>